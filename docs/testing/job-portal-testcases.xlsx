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Tổng hợp" sheetId="2" state="visible" r:id="rId2"/>
    <sheet xmlns:r="http://schemas.openxmlformats.org/officeDocument/2006/relationships" name="RTM" sheetId="3" state="visible" r:id="rId3"/>
    <sheet xmlns:r="http://schemas.openxmlformats.org/officeDocument/2006/relationships" name="Xác thực" sheetId="4" state="visible" r:id="rId4"/>
    <sheet xmlns:r="http://schemas.openxmlformats.org/officeDocument/2006/relationships" name="Ứng viên" sheetId="5" state="visible" r:id="rId5"/>
    <sheet xmlns:r="http://schemas.openxmlformats.org/officeDocument/2006/relationships" name="Nhà tuyển dụng" sheetId="6" state="visible" r:id="rId6"/>
    <sheet xmlns:r="http://schemas.openxmlformats.org/officeDocument/2006/relationships" name="Admin" sheetId="7" state="visible" r:id="rId7"/>
    <sheet xmlns:r="http://schemas.openxmlformats.org/officeDocument/2006/relationships" name="Quy tắc trạng thái" sheetId="8" state="visible" r:id="rId8"/>
    <sheet xmlns:r="http://schemas.openxmlformats.org/officeDocument/2006/relationships" name="Phi chức năng" sheetId="9" state="visible" r:id="rId9"/>
  </sheets>
  <definedNames>
    <definedName name="_xlnm._FilterDatabase" localSheetId="2" hidden="1">'RTM'!$A$1:$H$52</definedName>
    <definedName name="_xlnm._FilterDatabase" localSheetId="3" hidden="1">'Xác thực'!$A$1:$P$45</definedName>
    <definedName name="_xlnm._FilterDatabase" localSheetId="4" hidden="1">'Ứng viên'!$A$1:$P$90</definedName>
    <definedName name="_xlnm._FilterDatabase" localSheetId="5" hidden="1">'Nhà tuyển dụng'!$A$1:$P$75</definedName>
    <definedName name="_xlnm._FilterDatabase" localSheetId="6" hidden="1">'Admin'!$A$1:$P$48</definedName>
    <definedName name="_xlnm._FilterDatabase" localSheetId="7" hidden="1">'Quy tắc trạng thái'!$A$1:$P$25</definedName>
    <definedName name="_xlnm._FilterDatabase" localSheetId="8" hidden="1">'Phi chức năng'!$A$1:$P$30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  <font>
      <b val="1"/>
      <sz val="14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9" fontId="0" fillId="0" borderId="1" pivotButton="0" quotePrefix="0" xfId="0"/>
    <xf numFmtId="0" fontId="2" fillId="0" borderId="1" pivotButton="0" quotePrefix="0" xfId="0"/>
    <xf numFmtId="9" fontId="2" fillId="0" borderId="1" pivotButton="0" quotePrefix="0" xfId="0"/>
    <xf numFmtId="0" fontId="3" fillId="0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Bộ test case – JobPortal</t>
        </is>
      </c>
    </row>
    <row r="2">
      <c r="A2" t="inlineStr"/>
    </row>
    <row r="3">
      <c r="A3" t="inlineStr">
        <is>
          <t>Nguồn yêu cầu: docs/PRD.md (AUTH/CAN/EMP/ADM, §5 quy tắc, §6 phi chức năng). Quy trình: docs/testing/quy-trinh-tester.md</t>
        </is>
      </c>
    </row>
    <row r="4">
      <c r="A4" s="2" t="inlineStr">
        <is>
          <t>Tổng số test case: 307</t>
        </is>
      </c>
    </row>
    <row r="5">
      <c r="A5" t="inlineStr"/>
    </row>
    <row r="6">
      <c r="A6" s="2" t="inlineStr">
        <is>
          <t>Cách dùng</t>
        </is>
      </c>
    </row>
    <row r="7">
      <c r="A7" t="inlineStr">
        <is>
          <t>1. Chuẩn bị môi trường: cd api &amp;&amp; npm run migration:run &amp;&amp; npm run seed; ở thư mục gốc chạy npm run dev (API :3000, Web :5173).</t>
        </is>
      </c>
    </row>
    <row r="8">
      <c r="A8" t="inlineStr">
        <is>
          <t>2. Chạy smoke test trước (quy trình – Bước 4). Smoke lỗi → trả build, không chạy tiếp.</t>
        </is>
      </c>
    </row>
    <row r="9">
      <c r="A9" t="inlineStr">
        <is>
          <t>3. Chạy theo thứ tự: Xác thực → Quy tắc trạng thái → Nhà tuyển dụng → Ứng viên → Admin → Phi chức năng; trong mỗi sheet lọc P0 trước.</t>
        </is>
      </c>
    </row>
    <row r="10">
      <c r="A10" t="inlineStr">
        <is>
          <t>4. Điền Kết quả thực tế, chọn Trạng thái (Chưa chạy / Pass / Fail / Blocked / Skip), Người test, Ngày test. Fail → tạo bug và ghi Mã bug.</t>
        </is>
      </c>
    </row>
    <row r="11">
      <c r="A11" t="inlineStr">
        <is>
          <t>5. Sheet Tổng hợp và RTM tự cập nhật số liệu.</t>
        </is>
      </c>
    </row>
    <row r="12">
      <c r="A12" t="inlineStr"/>
    </row>
    <row r="13">
      <c r="A13" s="2" t="inlineStr">
        <is>
          <t>Tài khoản demo</t>
        </is>
      </c>
    </row>
    <row r="14">
      <c r="A14" t="inlineStr">
        <is>
          <t>Super admin: admin@jobportal.local / Admin@123</t>
        </is>
      </c>
    </row>
    <row r="15">
      <c r="A15" t="inlineStr">
        <is>
          <t>NTD chủ công ty: ntd1@demo.local, ntd2@demo.local / Demo@123 — NTD thành viên (công ty ntd1): ntd3@demo.local / Demo@123</t>
        </is>
      </c>
    </row>
    <row r="16">
      <c r="A16" t="inlineStr">
        <is>
          <t>Ứng viên: uv1@demo.local, uv2@demo.local / Demo@123</t>
        </is>
      </c>
    </row>
    <row r="17">
      <c r="A17" t="inlineStr">
        <is>
          <t>Dữ liệu tự tạo đặt tiền tố qa (qa.uv01@test.local, "QA – …"). Email ở môi trường dev được in ra terminal chạy API.</t>
        </is>
      </c>
    </row>
    <row r="18">
      <c r="A18" t="inlineStr"/>
    </row>
    <row r="19">
      <c r="A19" s="2" t="inlineStr">
        <is>
          <t>Lưu ý</t>
        </is>
      </c>
    </row>
    <row r="20">
      <c r="A20" t="inlineStr">
        <is>
          <t>• Các TC gọi API trực tiếp: dùng Swagger http://localhost:3000/api/docs hoặc Postman (lấy access token sau khi đăng nhập).</t>
        </is>
      </c>
    </row>
    <row r="21">
      <c r="A21" t="inlineStr">
        <is>
          <t>• Các TC "giả lập trong DB" (hết hạn link, tin quá hạn): sửa cột thời hạn tương ứng bằng SSMS trên DB job_portal (không làm trên production).</t>
        </is>
      </c>
    </row>
    <row r="22">
      <c r="A22" t="inlineStr">
        <is>
          <t>• Các TC rate limit (429): chạy cuối cùng hoặc đợi hết cửa sổ thời gian, vì sẽ chặn tạm IP của bạn.</t>
        </is>
      </c>
    </row>
    <row r="23">
      <c r="A23" t="inlineStr">
        <is>
          <t>• Kết quả mong đợi lấy từ PRD; nếu phần mềm khác PRD → báo bug hoặc ghi câu hỏi cho PO, không sửa kết quả mong đợi theo phần mềm.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3" t="inlineStr">
        <is>
          <t>Module</t>
        </is>
      </c>
      <c r="B1" s="3" t="inlineStr">
        <is>
          <t>Số TC</t>
        </is>
      </c>
      <c r="C1" s="3" t="inlineStr">
        <is>
          <t>P0</t>
        </is>
      </c>
      <c r="D1" s="3" t="inlineStr">
        <is>
          <t>P1</t>
        </is>
      </c>
      <c r="E1" s="3" t="inlineStr">
        <is>
          <t>P2</t>
        </is>
      </c>
      <c r="F1" s="3" t="inlineStr">
        <is>
          <t>Đã chạy</t>
        </is>
      </c>
      <c r="G1" s="3" t="inlineStr">
        <is>
          <t>Pass</t>
        </is>
      </c>
      <c r="H1" s="3" t="inlineStr">
        <is>
          <t>Fail</t>
        </is>
      </c>
      <c r="I1" s="3" t="inlineStr">
        <is>
          <t>Blocked</t>
        </is>
      </c>
      <c r="J1" s="3" t="inlineStr">
        <is>
          <t>Skip</t>
        </is>
      </c>
      <c r="K1" s="3" t="inlineStr">
        <is>
          <t>Chưa chạy</t>
        </is>
      </c>
      <c r="L1" s="3" t="inlineStr">
        <is>
          <t>% đã chạy</t>
        </is>
      </c>
      <c r="M1" s="3" t="inlineStr">
        <is>
          <t>% Pass (trên đã chạy)</t>
        </is>
      </c>
    </row>
    <row r="2">
      <c r="A2" s="4" t="inlineStr">
        <is>
          <t>Xác thực</t>
        </is>
      </c>
      <c r="B2" s="4">
        <f>COUNTA('Xác thực'!A:A)-1</f>
        <v/>
      </c>
      <c r="C2" s="4">
        <f>COUNTIF('Xác thực'!I:I,"P0")</f>
        <v/>
      </c>
      <c r="D2" s="4">
        <f>COUNTIF('Xác thực'!I:I,"P1")</f>
        <v/>
      </c>
      <c r="E2" s="4">
        <f>COUNTIF('Xác thực'!I:I,"P2")</f>
        <v/>
      </c>
      <c r="F2" s="4">
        <f>G2+H2+I2+J2</f>
        <v/>
      </c>
      <c r="G2" s="4">
        <f>COUNTIF('Xác thực'!L:L,"Pass")</f>
        <v/>
      </c>
      <c r="H2" s="4">
        <f>COUNTIF('Xác thực'!L:L,"Fail")</f>
        <v/>
      </c>
      <c r="I2" s="4">
        <f>COUNTIF('Xác thực'!L:L,"Blocked")</f>
        <v/>
      </c>
      <c r="J2" s="4">
        <f>COUNTIF('Xác thực'!L:L,"Skip")</f>
        <v/>
      </c>
      <c r="K2" s="4">
        <f>B2-F2</f>
        <v/>
      </c>
      <c r="L2" s="5">
        <f>IF(B2=0,0,F2/B2)</f>
        <v/>
      </c>
      <c r="M2" s="5">
        <f>IF(F2=0,0,G2/F2)</f>
        <v/>
      </c>
    </row>
    <row r="3">
      <c r="A3" s="4" t="inlineStr">
        <is>
          <t>Ứng viên</t>
        </is>
      </c>
      <c r="B3" s="4">
        <f>COUNTA('Ứng viên'!A:A)-1</f>
        <v/>
      </c>
      <c r="C3" s="4">
        <f>COUNTIF('Ứng viên'!I:I,"P0")</f>
        <v/>
      </c>
      <c r="D3" s="4">
        <f>COUNTIF('Ứng viên'!I:I,"P1")</f>
        <v/>
      </c>
      <c r="E3" s="4">
        <f>COUNTIF('Ứng viên'!I:I,"P2")</f>
        <v/>
      </c>
      <c r="F3" s="4">
        <f>G3+H3+I3+J3</f>
        <v/>
      </c>
      <c r="G3" s="4">
        <f>COUNTIF('Ứng viên'!L:L,"Pass")</f>
        <v/>
      </c>
      <c r="H3" s="4">
        <f>COUNTIF('Ứng viên'!L:L,"Fail")</f>
        <v/>
      </c>
      <c r="I3" s="4">
        <f>COUNTIF('Ứng viên'!L:L,"Blocked")</f>
        <v/>
      </c>
      <c r="J3" s="4">
        <f>COUNTIF('Ứng viên'!L:L,"Skip")</f>
        <v/>
      </c>
      <c r="K3" s="4">
        <f>B3-F3</f>
        <v/>
      </c>
      <c r="L3" s="5">
        <f>IF(B3=0,0,F3/B3)</f>
        <v/>
      </c>
      <c r="M3" s="5">
        <f>IF(F3=0,0,G3/F3)</f>
        <v/>
      </c>
    </row>
    <row r="4">
      <c r="A4" s="4" t="inlineStr">
        <is>
          <t>Nhà tuyển dụng</t>
        </is>
      </c>
      <c r="B4" s="4">
        <f>COUNTA('Nhà tuyển dụng'!A:A)-1</f>
        <v/>
      </c>
      <c r="C4" s="4">
        <f>COUNTIF('Nhà tuyển dụng'!I:I,"P0")</f>
        <v/>
      </c>
      <c r="D4" s="4">
        <f>COUNTIF('Nhà tuyển dụng'!I:I,"P1")</f>
        <v/>
      </c>
      <c r="E4" s="4">
        <f>COUNTIF('Nhà tuyển dụng'!I:I,"P2")</f>
        <v/>
      </c>
      <c r="F4" s="4">
        <f>G4+H4+I4+J4</f>
        <v/>
      </c>
      <c r="G4" s="4">
        <f>COUNTIF('Nhà tuyển dụng'!L:L,"Pass")</f>
        <v/>
      </c>
      <c r="H4" s="4">
        <f>COUNTIF('Nhà tuyển dụng'!L:L,"Fail")</f>
        <v/>
      </c>
      <c r="I4" s="4">
        <f>COUNTIF('Nhà tuyển dụng'!L:L,"Blocked")</f>
        <v/>
      </c>
      <c r="J4" s="4">
        <f>COUNTIF('Nhà tuyển dụng'!L:L,"Skip")</f>
        <v/>
      </c>
      <c r="K4" s="4">
        <f>B4-F4</f>
        <v/>
      </c>
      <c r="L4" s="5">
        <f>IF(B4=0,0,F4/B4)</f>
        <v/>
      </c>
      <c r="M4" s="5">
        <f>IF(F4=0,0,G4/F4)</f>
        <v/>
      </c>
    </row>
    <row r="5">
      <c r="A5" s="4" t="inlineStr">
        <is>
          <t>Admin</t>
        </is>
      </c>
      <c r="B5" s="4">
        <f>COUNTA('Admin'!A:A)-1</f>
        <v/>
      </c>
      <c r="C5" s="4">
        <f>COUNTIF('Admin'!I:I,"P0")</f>
        <v/>
      </c>
      <c r="D5" s="4">
        <f>COUNTIF('Admin'!I:I,"P1")</f>
        <v/>
      </c>
      <c r="E5" s="4">
        <f>COUNTIF('Admin'!I:I,"P2")</f>
        <v/>
      </c>
      <c r="F5" s="4">
        <f>G5+H5+I5+J5</f>
        <v/>
      </c>
      <c r="G5" s="4">
        <f>COUNTIF('Admin'!L:L,"Pass")</f>
        <v/>
      </c>
      <c r="H5" s="4">
        <f>COUNTIF('Admin'!L:L,"Fail")</f>
        <v/>
      </c>
      <c r="I5" s="4">
        <f>COUNTIF('Admin'!L:L,"Blocked")</f>
        <v/>
      </c>
      <c r="J5" s="4">
        <f>COUNTIF('Admin'!L:L,"Skip")</f>
        <v/>
      </c>
      <c r="K5" s="4">
        <f>B5-F5</f>
        <v/>
      </c>
      <c r="L5" s="5">
        <f>IF(B5=0,0,F5/B5)</f>
        <v/>
      </c>
      <c r="M5" s="5">
        <f>IF(F5=0,0,G5/F5)</f>
        <v/>
      </c>
    </row>
    <row r="6">
      <c r="A6" s="4" t="inlineStr">
        <is>
          <t>Quy tắc trạng thái</t>
        </is>
      </c>
      <c r="B6" s="4">
        <f>COUNTA('Quy tắc trạng thái'!A:A)-1</f>
        <v/>
      </c>
      <c r="C6" s="4">
        <f>COUNTIF('Quy tắc trạng thái'!I:I,"P0")</f>
        <v/>
      </c>
      <c r="D6" s="4">
        <f>COUNTIF('Quy tắc trạng thái'!I:I,"P1")</f>
        <v/>
      </c>
      <c r="E6" s="4">
        <f>COUNTIF('Quy tắc trạng thái'!I:I,"P2")</f>
        <v/>
      </c>
      <c r="F6" s="4">
        <f>G6+H6+I6+J6</f>
        <v/>
      </c>
      <c r="G6" s="4">
        <f>COUNTIF('Quy tắc trạng thái'!L:L,"Pass")</f>
        <v/>
      </c>
      <c r="H6" s="4">
        <f>COUNTIF('Quy tắc trạng thái'!L:L,"Fail")</f>
        <v/>
      </c>
      <c r="I6" s="4">
        <f>COUNTIF('Quy tắc trạng thái'!L:L,"Blocked")</f>
        <v/>
      </c>
      <c r="J6" s="4">
        <f>COUNTIF('Quy tắc trạng thái'!L:L,"Skip")</f>
        <v/>
      </c>
      <c r="K6" s="4">
        <f>B6-F6</f>
        <v/>
      </c>
      <c r="L6" s="5">
        <f>IF(B6=0,0,F6/B6)</f>
        <v/>
      </c>
      <c r="M6" s="5">
        <f>IF(F6=0,0,G6/F6)</f>
        <v/>
      </c>
    </row>
    <row r="7">
      <c r="A7" s="4" t="inlineStr">
        <is>
          <t>Phi chức năng</t>
        </is>
      </c>
      <c r="B7" s="4">
        <f>COUNTA('Phi chức năng'!A:A)-1</f>
        <v/>
      </c>
      <c r="C7" s="4">
        <f>COUNTIF('Phi chức năng'!I:I,"P0")</f>
        <v/>
      </c>
      <c r="D7" s="4">
        <f>COUNTIF('Phi chức năng'!I:I,"P1")</f>
        <v/>
      </c>
      <c r="E7" s="4">
        <f>COUNTIF('Phi chức năng'!I:I,"P2")</f>
        <v/>
      </c>
      <c r="F7" s="4">
        <f>G7+H7+I7+J7</f>
        <v/>
      </c>
      <c r="G7" s="4">
        <f>COUNTIF('Phi chức năng'!L:L,"Pass")</f>
        <v/>
      </c>
      <c r="H7" s="4">
        <f>COUNTIF('Phi chức năng'!L:L,"Fail")</f>
        <v/>
      </c>
      <c r="I7" s="4">
        <f>COUNTIF('Phi chức năng'!L:L,"Blocked")</f>
        <v/>
      </c>
      <c r="J7" s="4">
        <f>COUNTIF('Phi chức năng'!L:L,"Skip")</f>
        <v/>
      </c>
      <c r="K7" s="4">
        <f>B7-F7</f>
        <v/>
      </c>
      <c r="L7" s="5">
        <f>IF(B7=0,0,F7/B7)</f>
        <v/>
      </c>
      <c r="M7" s="5">
        <f>IF(F7=0,0,G7/F7)</f>
        <v/>
      </c>
    </row>
    <row r="8">
      <c r="A8" s="6" t="inlineStr">
        <is>
          <t>TỔNG</t>
        </is>
      </c>
      <c r="B8" s="6">
        <f>SUM(B2:B7)</f>
        <v/>
      </c>
      <c r="C8" s="6">
        <f>SUM(C2:C7)</f>
        <v/>
      </c>
      <c r="D8" s="6">
        <f>SUM(D2:D7)</f>
        <v/>
      </c>
      <c r="E8" s="6">
        <f>SUM(E2:E7)</f>
        <v/>
      </c>
      <c r="F8" s="6">
        <f>SUM(F2:F7)</f>
        <v/>
      </c>
      <c r="G8" s="6">
        <f>SUM(G2:G7)</f>
        <v/>
      </c>
      <c r="H8" s="6">
        <f>SUM(H2:H7)</f>
        <v/>
      </c>
      <c r="I8" s="6">
        <f>SUM(I2:I7)</f>
        <v/>
      </c>
      <c r="J8" s="6">
        <f>SUM(J2:J7)</f>
        <v/>
      </c>
      <c r="K8" s="6">
        <f>SUM(K2:K7)</f>
        <v/>
      </c>
      <c r="L8" s="7">
        <f>IF(B8=0,0,F8/B8)</f>
        <v/>
      </c>
      <c r="M8" s="7">
        <f>IF(F8=0,0,G8/F8)</f>
        <v/>
      </c>
    </row>
    <row r="10">
      <c r="A10" s="8" t="inlineStr">
        <is>
          <t>Tiêu chí phát hành: 100% TC P0 đã chạy và ≥ 95% Pass; ≥ 90% TC P1 đã chạy; không còn bug Critical/High đang mở.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9" customWidth="1" min="3" max="3"/>
    <col width="8" customWidth="1" min="4" max="4"/>
    <col width="9" customWidth="1" min="5" max="5"/>
    <col width="8" customWidth="1" min="6" max="6"/>
    <col width="8" customWidth="1" min="7" max="7"/>
    <col width="12" customWidth="1" min="8" max="8"/>
  </cols>
  <sheetData>
    <row r="1">
      <c r="A1" s="9" t="inlineStr">
        <is>
          <t>Mã yêu cầu</t>
        </is>
      </c>
      <c r="B1" s="9" t="inlineStr">
        <is>
          <t>Sheet</t>
        </is>
      </c>
      <c r="C1" s="9" t="inlineStr">
        <is>
          <t>Ưu tiên</t>
        </is>
      </c>
      <c r="D1" s="9" t="inlineStr">
        <is>
          <t>Số TC</t>
        </is>
      </c>
      <c r="E1" s="9" t="inlineStr">
        <is>
          <t>Đã chạy</t>
        </is>
      </c>
      <c r="F1" s="9" t="inlineStr">
        <is>
          <t>Pass</t>
        </is>
      </c>
      <c r="G1" s="9" t="inlineStr">
        <is>
          <t>Fail</t>
        </is>
      </c>
      <c r="H1" s="9" t="inlineStr">
        <is>
          <t>Độ phủ</t>
        </is>
      </c>
    </row>
    <row r="2">
      <c r="A2" s="4" t="inlineStr">
        <is>
          <t>AUTH-01</t>
        </is>
      </c>
      <c r="B2" s="4" t="inlineStr">
        <is>
          <t>Xác thực</t>
        </is>
      </c>
      <c r="C2" s="4" t="inlineStr">
        <is>
          <t>P0</t>
        </is>
      </c>
      <c r="D2" s="4" t="n">
        <v>13</v>
      </c>
      <c r="E2" s="4">
        <f>COUNTIFS('Xác thực'!B:B,A2,'Xác thực'!L:L,"&lt;&gt;Chưa chạy")</f>
        <v/>
      </c>
      <c r="F2" s="4">
        <f>COUNTIFS('Xác thực'!B:B,A2,'Xác thực'!L:L,"Pass")</f>
        <v/>
      </c>
      <c r="G2" s="4">
        <f>COUNTIFS('Xác thực'!B:B,A2,'Xác thực'!L:L,"Fail")</f>
        <v/>
      </c>
      <c r="H2" s="4">
        <f>IF(F2=D2,"Đã phủ",IF(G2&gt;0,"Có lỗi",IF(E2=0,"Chưa test","Đang test")))</f>
        <v/>
      </c>
    </row>
    <row r="3">
      <c r="A3" s="4" t="inlineStr">
        <is>
          <t>AUTH-02</t>
        </is>
      </c>
      <c r="B3" s="4" t="inlineStr">
        <is>
          <t>Xác thực</t>
        </is>
      </c>
      <c r="C3" s="4" t="inlineStr">
        <is>
          <t>P0</t>
        </is>
      </c>
      <c r="D3" s="4" t="n">
        <v>11</v>
      </c>
      <c r="E3" s="4">
        <f>COUNTIFS('Xác thực'!B:B,A3,'Xác thực'!L:L,"&lt;&gt;Chưa chạy")</f>
        <v/>
      </c>
      <c r="F3" s="4">
        <f>COUNTIFS('Xác thực'!B:B,A3,'Xác thực'!L:L,"Pass")</f>
        <v/>
      </c>
      <c r="G3" s="4">
        <f>COUNTIFS('Xác thực'!B:B,A3,'Xác thực'!L:L,"Fail")</f>
        <v/>
      </c>
      <c r="H3" s="4">
        <f>IF(F3=D3,"Đã phủ",IF(G3&gt;0,"Có lỗi",IF(E3=0,"Chưa test","Đang test")))</f>
        <v/>
      </c>
    </row>
    <row r="4">
      <c r="A4" s="4" t="inlineStr">
        <is>
          <t>AUTH-03</t>
        </is>
      </c>
      <c r="B4" s="4" t="inlineStr">
        <is>
          <t>Xác thực</t>
        </is>
      </c>
      <c r="C4" s="4" t="inlineStr">
        <is>
          <t>P0</t>
        </is>
      </c>
      <c r="D4" s="4" t="n">
        <v>5</v>
      </c>
      <c r="E4" s="4">
        <f>COUNTIFS('Xác thực'!B:B,A4,'Xác thực'!L:L,"&lt;&gt;Chưa chạy")</f>
        <v/>
      </c>
      <c r="F4" s="4">
        <f>COUNTIFS('Xác thực'!B:B,A4,'Xác thực'!L:L,"Pass")</f>
        <v/>
      </c>
      <c r="G4" s="4">
        <f>COUNTIFS('Xác thực'!B:B,A4,'Xác thực'!L:L,"Fail")</f>
        <v/>
      </c>
      <c r="H4" s="4">
        <f>IF(F4=D4,"Đã phủ",IF(G4&gt;0,"Có lỗi",IF(E4=0,"Chưa test","Đang test")))</f>
        <v/>
      </c>
    </row>
    <row r="5">
      <c r="A5" s="4" t="inlineStr">
        <is>
          <t>AUTH-04</t>
        </is>
      </c>
      <c r="B5" s="4" t="inlineStr">
        <is>
          <t>Xác thực</t>
        </is>
      </c>
      <c r="C5" s="4" t="inlineStr">
        <is>
          <t>P0</t>
        </is>
      </c>
      <c r="D5" s="4" t="n">
        <v>6</v>
      </c>
      <c r="E5" s="4">
        <f>COUNTIFS('Xác thực'!B:B,A5,'Xác thực'!L:L,"&lt;&gt;Chưa chạy")</f>
        <v/>
      </c>
      <c r="F5" s="4">
        <f>COUNTIFS('Xác thực'!B:B,A5,'Xác thực'!L:L,"Pass")</f>
        <v/>
      </c>
      <c r="G5" s="4">
        <f>COUNTIFS('Xác thực'!B:B,A5,'Xác thực'!L:L,"Fail")</f>
        <v/>
      </c>
      <c r="H5" s="4">
        <f>IF(F5=D5,"Đã phủ",IF(G5&gt;0,"Có lỗi",IF(E5=0,"Chưa test","Đang test")))</f>
        <v/>
      </c>
    </row>
    <row r="6">
      <c r="A6" s="4" t="inlineStr">
        <is>
          <t>AUTH-05</t>
        </is>
      </c>
      <c r="B6" s="4" t="inlineStr">
        <is>
          <t>Xác thực</t>
        </is>
      </c>
      <c r="C6" s="4" t="inlineStr">
        <is>
          <t>P0</t>
        </is>
      </c>
      <c r="D6" s="4" t="n">
        <v>5</v>
      </c>
      <c r="E6" s="4">
        <f>COUNTIFS('Xác thực'!B:B,A6,'Xác thực'!L:L,"&lt;&gt;Chưa chạy")</f>
        <v/>
      </c>
      <c r="F6" s="4">
        <f>COUNTIFS('Xác thực'!B:B,A6,'Xác thực'!L:L,"Pass")</f>
        <v/>
      </c>
      <c r="G6" s="4">
        <f>COUNTIFS('Xác thực'!B:B,A6,'Xác thực'!L:L,"Fail")</f>
        <v/>
      </c>
      <c r="H6" s="4">
        <f>IF(F6=D6,"Đã phủ",IF(G6&gt;0,"Có lỗi",IF(E6=0,"Chưa test","Đang test")))</f>
        <v/>
      </c>
    </row>
    <row r="7">
      <c r="A7" s="4" t="inlineStr">
        <is>
          <t>AUTH-06</t>
        </is>
      </c>
      <c r="B7" s="4" t="inlineStr">
        <is>
          <t>Xác thực</t>
        </is>
      </c>
      <c r="C7" s="4" t="inlineStr">
        <is>
          <t>P1</t>
        </is>
      </c>
      <c r="D7" s="4" t="n">
        <v>1</v>
      </c>
      <c r="E7" s="4">
        <f>COUNTIFS('Xác thực'!B:B,A7,'Xác thực'!L:L,"&lt;&gt;Chưa chạy")</f>
        <v/>
      </c>
      <c r="F7" s="4">
        <f>COUNTIFS('Xác thực'!B:B,A7,'Xác thực'!L:L,"Pass")</f>
        <v/>
      </c>
      <c r="G7" s="4">
        <f>COUNTIFS('Xác thực'!B:B,A7,'Xác thực'!L:L,"Fail")</f>
        <v/>
      </c>
      <c r="H7" s="4">
        <f>IF(F7=D7,"Đã phủ",IF(G7&gt;0,"Có lỗi",IF(E7=0,"Chưa test","Đang test")))</f>
        <v/>
      </c>
    </row>
    <row r="8">
      <c r="A8" s="4" t="inlineStr">
        <is>
          <t>AUTH-07</t>
        </is>
      </c>
      <c r="B8" s="4" t="inlineStr">
        <is>
          <t>Xác thực</t>
        </is>
      </c>
      <c r="C8" s="4" t="inlineStr">
        <is>
          <t>P0</t>
        </is>
      </c>
      <c r="D8" s="4" t="n">
        <v>3</v>
      </c>
      <c r="E8" s="4">
        <f>COUNTIFS('Xác thực'!B:B,A8,'Xác thực'!L:L,"&lt;&gt;Chưa chạy")</f>
        <v/>
      </c>
      <c r="F8" s="4">
        <f>COUNTIFS('Xác thực'!B:B,A8,'Xác thực'!L:L,"Pass")</f>
        <v/>
      </c>
      <c r="G8" s="4">
        <f>COUNTIFS('Xác thực'!B:B,A8,'Xác thực'!L:L,"Fail")</f>
        <v/>
      </c>
      <c r="H8" s="4">
        <f>IF(F8=D8,"Đã phủ",IF(G8&gt;0,"Có lỗi",IF(E8=0,"Chưa test","Đang test")))</f>
        <v/>
      </c>
    </row>
    <row r="9">
      <c r="A9" s="4" t="inlineStr">
        <is>
          <t>CAN-01</t>
        </is>
      </c>
      <c r="B9" s="4" t="inlineStr">
        <is>
          <t>Ứng viên</t>
        </is>
      </c>
      <c r="C9" s="4" t="inlineStr">
        <is>
          <t>P0</t>
        </is>
      </c>
      <c r="D9" s="4" t="n">
        <v>8</v>
      </c>
      <c r="E9" s="4">
        <f>COUNTIFS('Ứng viên'!B:B,A9,'Ứng viên'!L:L,"&lt;&gt;Chưa chạy")</f>
        <v/>
      </c>
      <c r="F9" s="4">
        <f>COUNTIFS('Ứng viên'!B:B,A9,'Ứng viên'!L:L,"Pass")</f>
        <v/>
      </c>
      <c r="G9" s="4">
        <f>COUNTIFS('Ứng viên'!B:B,A9,'Ứng viên'!L:L,"Fail")</f>
        <v/>
      </c>
      <c r="H9" s="4">
        <f>IF(F9=D9,"Đã phủ",IF(G9&gt;0,"Có lỗi",IF(E9=0,"Chưa test","Đang test")))</f>
        <v/>
      </c>
    </row>
    <row r="10">
      <c r="A10" s="4" t="inlineStr">
        <is>
          <t>CAN-02</t>
        </is>
      </c>
      <c r="B10" s="4" t="inlineStr">
        <is>
          <t>Ứng viên</t>
        </is>
      </c>
      <c r="C10" s="4" t="inlineStr">
        <is>
          <t>P0</t>
        </is>
      </c>
      <c r="D10" s="4" t="n">
        <v>6</v>
      </c>
      <c r="E10" s="4">
        <f>COUNTIFS('Ứng viên'!B:B,A10,'Ứng viên'!L:L,"&lt;&gt;Chưa chạy")</f>
        <v/>
      </c>
      <c r="F10" s="4">
        <f>COUNTIFS('Ứng viên'!B:B,A10,'Ứng viên'!L:L,"Pass")</f>
        <v/>
      </c>
      <c r="G10" s="4">
        <f>COUNTIFS('Ứng viên'!B:B,A10,'Ứng viên'!L:L,"Fail")</f>
        <v/>
      </c>
      <c r="H10" s="4">
        <f>IF(F10=D10,"Đã phủ",IF(G10&gt;0,"Có lỗi",IF(E10=0,"Chưa test","Đang test")))</f>
        <v/>
      </c>
    </row>
    <row r="11">
      <c r="A11" s="4" t="inlineStr">
        <is>
          <t>CAN-03</t>
        </is>
      </c>
      <c r="B11" s="4" t="inlineStr">
        <is>
          <t>Ứng viên</t>
        </is>
      </c>
      <c r="C11" s="4" t="inlineStr">
        <is>
          <t>P0</t>
        </is>
      </c>
      <c r="D11" s="4" t="n">
        <v>10</v>
      </c>
      <c r="E11" s="4">
        <f>COUNTIFS('Ứng viên'!B:B,A11,'Ứng viên'!L:L,"&lt;&gt;Chưa chạy")</f>
        <v/>
      </c>
      <c r="F11" s="4">
        <f>COUNTIFS('Ứng viên'!B:B,A11,'Ứng viên'!L:L,"Pass")</f>
        <v/>
      </c>
      <c r="G11" s="4">
        <f>COUNTIFS('Ứng viên'!B:B,A11,'Ứng viên'!L:L,"Fail")</f>
        <v/>
      </c>
      <c r="H11" s="4">
        <f>IF(F11=D11,"Đã phủ",IF(G11&gt;0,"Có lỗi",IF(E11=0,"Chưa test","Đang test")))</f>
        <v/>
      </c>
    </row>
    <row r="12">
      <c r="A12" s="4" t="inlineStr">
        <is>
          <t>CAN-04</t>
        </is>
      </c>
      <c r="B12" s="4" t="inlineStr">
        <is>
          <t>Ứng viên</t>
        </is>
      </c>
      <c r="C12" s="4" t="inlineStr">
        <is>
          <t>P0</t>
        </is>
      </c>
      <c r="D12" s="4" t="n">
        <v>2</v>
      </c>
      <c r="E12" s="4">
        <f>COUNTIFS('Ứng viên'!B:B,A12,'Ứng viên'!L:L,"&lt;&gt;Chưa chạy")</f>
        <v/>
      </c>
      <c r="F12" s="4">
        <f>COUNTIFS('Ứng viên'!B:B,A12,'Ứng viên'!L:L,"Pass")</f>
        <v/>
      </c>
      <c r="G12" s="4">
        <f>COUNTIFS('Ứng viên'!B:B,A12,'Ứng viên'!L:L,"Fail")</f>
        <v/>
      </c>
      <c r="H12" s="4">
        <f>IF(F12=D12,"Đã phủ",IF(G12&gt;0,"Có lỗi",IF(E12=0,"Chưa test","Đang test")))</f>
        <v/>
      </c>
    </row>
    <row r="13">
      <c r="A13" s="4" t="inlineStr">
        <is>
          <t>CAN-05</t>
        </is>
      </c>
      <c r="B13" s="4" t="inlineStr">
        <is>
          <t>Ứng viên</t>
        </is>
      </c>
      <c r="C13" s="4" t="inlineStr">
        <is>
          <t>P0</t>
        </is>
      </c>
      <c r="D13" s="4" t="n">
        <v>12</v>
      </c>
      <c r="E13" s="4">
        <f>COUNTIFS('Ứng viên'!B:B,A13,'Ứng viên'!L:L,"&lt;&gt;Chưa chạy")</f>
        <v/>
      </c>
      <c r="F13" s="4">
        <f>COUNTIFS('Ứng viên'!B:B,A13,'Ứng viên'!L:L,"Pass")</f>
        <v/>
      </c>
      <c r="G13" s="4">
        <f>COUNTIFS('Ứng viên'!B:B,A13,'Ứng viên'!L:L,"Fail")</f>
        <v/>
      </c>
      <c r="H13" s="4">
        <f>IF(F13=D13,"Đã phủ",IF(G13&gt;0,"Có lỗi",IF(E13=0,"Chưa test","Đang test")))</f>
        <v/>
      </c>
    </row>
    <row r="14">
      <c r="A14" s="4" t="inlineStr">
        <is>
          <t>CAN-06</t>
        </is>
      </c>
      <c r="B14" s="4" t="inlineStr">
        <is>
          <t>Ứng viên</t>
        </is>
      </c>
      <c r="C14" s="4" t="inlineStr">
        <is>
          <t>P0</t>
        </is>
      </c>
      <c r="D14" s="4" t="n">
        <v>5</v>
      </c>
      <c r="E14" s="4">
        <f>COUNTIFS('Ứng viên'!B:B,A14,'Ứng viên'!L:L,"&lt;&gt;Chưa chạy")</f>
        <v/>
      </c>
      <c r="F14" s="4">
        <f>COUNTIFS('Ứng viên'!B:B,A14,'Ứng viên'!L:L,"Pass")</f>
        <v/>
      </c>
      <c r="G14" s="4">
        <f>COUNTIFS('Ứng viên'!B:B,A14,'Ứng viên'!L:L,"Fail")</f>
        <v/>
      </c>
      <c r="H14" s="4">
        <f>IF(F14=D14,"Đã phủ",IF(G14&gt;0,"Có lỗi",IF(E14=0,"Chưa test","Đang test")))</f>
        <v/>
      </c>
    </row>
    <row r="15">
      <c r="A15" s="4" t="inlineStr">
        <is>
          <t>CAN-07</t>
        </is>
      </c>
      <c r="B15" s="4" t="inlineStr">
        <is>
          <t>Ứng viên</t>
        </is>
      </c>
      <c r="C15" s="4" t="inlineStr">
        <is>
          <t>P0</t>
        </is>
      </c>
      <c r="D15" s="4" t="n">
        <v>14</v>
      </c>
      <c r="E15" s="4">
        <f>COUNTIFS('Ứng viên'!B:B,A15,'Ứng viên'!L:L,"&lt;&gt;Chưa chạy")</f>
        <v/>
      </c>
      <c r="F15" s="4">
        <f>COUNTIFS('Ứng viên'!B:B,A15,'Ứng viên'!L:L,"Pass")</f>
        <v/>
      </c>
      <c r="G15" s="4">
        <f>COUNTIFS('Ứng viên'!B:B,A15,'Ứng viên'!L:L,"Fail")</f>
        <v/>
      </c>
      <c r="H15" s="4">
        <f>IF(F15=D15,"Đã phủ",IF(G15&gt;0,"Có lỗi",IF(E15=0,"Chưa test","Đang test")))</f>
        <v/>
      </c>
    </row>
    <row r="16">
      <c r="A16" s="4" t="inlineStr">
        <is>
          <t>CAN-08</t>
        </is>
      </c>
      <c r="B16" s="4" t="inlineStr">
        <is>
          <t>Ứng viên</t>
        </is>
      </c>
      <c r="C16" s="4" t="inlineStr">
        <is>
          <t>P0</t>
        </is>
      </c>
      <c r="D16" s="4" t="n">
        <v>6</v>
      </c>
      <c r="E16" s="4">
        <f>COUNTIFS('Ứng viên'!B:B,A16,'Ứng viên'!L:L,"&lt;&gt;Chưa chạy")</f>
        <v/>
      </c>
      <c r="F16" s="4">
        <f>COUNTIFS('Ứng viên'!B:B,A16,'Ứng viên'!L:L,"Pass")</f>
        <v/>
      </c>
      <c r="G16" s="4">
        <f>COUNTIFS('Ứng viên'!B:B,A16,'Ứng viên'!L:L,"Fail")</f>
        <v/>
      </c>
      <c r="H16" s="4">
        <f>IF(F16=D16,"Đã phủ",IF(G16&gt;0,"Có lỗi",IF(E16=0,"Chưa test","Đang test")))</f>
        <v/>
      </c>
    </row>
    <row r="17">
      <c r="A17" s="4" t="inlineStr">
        <is>
          <t>CAN-09</t>
        </is>
      </c>
      <c r="B17" s="4" t="inlineStr">
        <is>
          <t>Ứng viên</t>
        </is>
      </c>
      <c r="C17" s="4" t="inlineStr">
        <is>
          <t>P1</t>
        </is>
      </c>
      <c r="D17" s="4" t="n">
        <v>4</v>
      </c>
      <c r="E17" s="4">
        <f>COUNTIFS('Ứng viên'!B:B,A17,'Ứng viên'!L:L,"&lt;&gt;Chưa chạy")</f>
        <v/>
      </c>
      <c r="F17" s="4">
        <f>COUNTIFS('Ứng viên'!B:B,A17,'Ứng viên'!L:L,"Pass")</f>
        <v/>
      </c>
      <c r="G17" s="4">
        <f>COUNTIFS('Ứng viên'!B:B,A17,'Ứng viên'!L:L,"Fail")</f>
        <v/>
      </c>
      <c r="H17" s="4">
        <f>IF(F17=D17,"Đã phủ",IF(G17&gt;0,"Có lỗi",IF(E17=0,"Chưa test","Đang test")))</f>
        <v/>
      </c>
    </row>
    <row r="18">
      <c r="A18" s="4" t="inlineStr">
        <is>
          <t>CAN-10</t>
        </is>
      </c>
      <c r="B18" s="4" t="inlineStr">
        <is>
          <t>Ứng viên</t>
        </is>
      </c>
      <c r="C18" s="4" t="inlineStr">
        <is>
          <t>P1</t>
        </is>
      </c>
      <c r="D18" s="4" t="n">
        <v>6</v>
      </c>
      <c r="E18" s="4">
        <f>COUNTIFS('Ứng viên'!B:B,A18,'Ứng viên'!L:L,"&lt;&gt;Chưa chạy")</f>
        <v/>
      </c>
      <c r="F18" s="4">
        <f>COUNTIFS('Ứng viên'!B:B,A18,'Ứng viên'!L:L,"Pass")</f>
        <v/>
      </c>
      <c r="G18" s="4">
        <f>COUNTIFS('Ứng viên'!B:B,A18,'Ứng viên'!L:L,"Fail")</f>
        <v/>
      </c>
      <c r="H18" s="4">
        <f>IF(F18=D18,"Đã phủ",IF(G18&gt;0,"Có lỗi",IF(E18=0,"Chưa test","Đang test")))</f>
        <v/>
      </c>
    </row>
    <row r="19">
      <c r="A19" s="4" t="inlineStr">
        <is>
          <t>CAN-11</t>
        </is>
      </c>
      <c r="B19" s="4" t="inlineStr">
        <is>
          <t>Ứng viên</t>
        </is>
      </c>
      <c r="C19" s="4" t="inlineStr">
        <is>
          <t>P0</t>
        </is>
      </c>
      <c r="D19" s="4" t="n">
        <v>3</v>
      </c>
      <c r="E19" s="4">
        <f>COUNTIFS('Ứng viên'!B:B,A19,'Ứng viên'!L:L,"&lt;&gt;Chưa chạy")</f>
        <v/>
      </c>
      <c r="F19" s="4">
        <f>COUNTIFS('Ứng viên'!B:B,A19,'Ứng viên'!L:L,"Pass")</f>
        <v/>
      </c>
      <c r="G19" s="4">
        <f>COUNTIFS('Ứng viên'!B:B,A19,'Ứng viên'!L:L,"Fail")</f>
        <v/>
      </c>
      <c r="H19" s="4">
        <f>IF(F19=D19,"Đã phủ",IF(G19&gt;0,"Có lỗi",IF(E19=0,"Chưa test","Đang test")))</f>
        <v/>
      </c>
    </row>
    <row r="20">
      <c r="A20" s="4" t="inlineStr">
        <is>
          <t>CAN-12</t>
        </is>
      </c>
      <c r="B20" s="4" t="inlineStr">
        <is>
          <t>Ứng viên</t>
        </is>
      </c>
      <c r="C20" s="4" t="inlineStr">
        <is>
          <t>P1</t>
        </is>
      </c>
      <c r="D20" s="4" t="n">
        <v>4</v>
      </c>
      <c r="E20" s="4">
        <f>COUNTIFS('Ứng viên'!B:B,A20,'Ứng viên'!L:L,"&lt;&gt;Chưa chạy")</f>
        <v/>
      </c>
      <c r="F20" s="4">
        <f>COUNTIFS('Ứng viên'!B:B,A20,'Ứng viên'!L:L,"Pass")</f>
        <v/>
      </c>
      <c r="G20" s="4">
        <f>COUNTIFS('Ứng viên'!B:B,A20,'Ứng viên'!L:L,"Fail")</f>
        <v/>
      </c>
      <c r="H20" s="4">
        <f>IF(F20=D20,"Đã phủ",IF(G20&gt;0,"Có lỗi",IF(E20=0,"Chưa test","Đang test")))</f>
        <v/>
      </c>
    </row>
    <row r="21">
      <c r="A21" s="4" t="inlineStr">
        <is>
          <t>CAN-13</t>
        </is>
      </c>
      <c r="B21" s="4" t="inlineStr">
        <is>
          <t>Ứng viên</t>
        </is>
      </c>
      <c r="C21" s="4" t="inlineStr">
        <is>
          <t>P1</t>
        </is>
      </c>
      <c r="D21" s="4" t="n">
        <v>9</v>
      </c>
      <c r="E21" s="4">
        <f>COUNTIFS('Ứng viên'!B:B,A21,'Ứng viên'!L:L,"&lt;&gt;Chưa chạy")</f>
        <v/>
      </c>
      <c r="F21" s="4">
        <f>COUNTIFS('Ứng viên'!B:B,A21,'Ứng viên'!L:L,"Pass")</f>
        <v/>
      </c>
      <c r="G21" s="4">
        <f>COUNTIFS('Ứng viên'!B:B,A21,'Ứng viên'!L:L,"Fail")</f>
        <v/>
      </c>
      <c r="H21" s="4">
        <f>IF(F21=D21,"Đã phủ",IF(G21&gt;0,"Có lỗi",IF(E21=0,"Chưa test","Đang test")))</f>
        <v/>
      </c>
    </row>
    <row r="22">
      <c r="A22" s="4" t="inlineStr">
        <is>
          <t>EMP-01</t>
        </is>
      </c>
      <c r="B22" s="4" t="inlineStr">
        <is>
          <t>Nhà tuyển dụng</t>
        </is>
      </c>
      <c r="C22" s="4" t="inlineStr">
        <is>
          <t>P0</t>
        </is>
      </c>
      <c r="D22" s="4" t="n">
        <v>8</v>
      </c>
      <c r="E22" s="4">
        <f>COUNTIFS('Nhà tuyển dụng'!B:B,A22,'Nhà tuyển dụng'!L:L,"&lt;&gt;Chưa chạy")</f>
        <v/>
      </c>
      <c r="F22" s="4">
        <f>COUNTIFS('Nhà tuyển dụng'!B:B,A22,'Nhà tuyển dụng'!L:L,"Pass")</f>
        <v/>
      </c>
      <c r="G22" s="4">
        <f>COUNTIFS('Nhà tuyển dụng'!B:B,A22,'Nhà tuyển dụng'!L:L,"Fail")</f>
        <v/>
      </c>
      <c r="H22" s="4">
        <f>IF(F22=D22,"Đã phủ",IF(G22&gt;0,"Có lỗi",IF(E22=0,"Chưa test","Đang test")))</f>
        <v/>
      </c>
    </row>
    <row r="23">
      <c r="A23" s="4" t="inlineStr">
        <is>
          <t>EMP-02</t>
        </is>
      </c>
      <c r="B23" s="4" t="inlineStr">
        <is>
          <t>Nhà tuyển dụng</t>
        </is>
      </c>
      <c r="C23" s="4" t="inlineStr">
        <is>
          <t>P0</t>
        </is>
      </c>
      <c r="D23" s="4" t="n">
        <v>5</v>
      </c>
      <c r="E23" s="4">
        <f>COUNTIFS('Nhà tuyển dụng'!B:B,A23,'Nhà tuyển dụng'!L:L,"&lt;&gt;Chưa chạy")</f>
        <v/>
      </c>
      <c r="F23" s="4">
        <f>COUNTIFS('Nhà tuyển dụng'!B:B,A23,'Nhà tuyển dụng'!L:L,"Pass")</f>
        <v/>
      </c>
      <c r="G23" s="4">
        <f>COUNTIFS('Nhà tuyển dụng'!B:B,A23,'Nhà tuyển dụng'!L:L,"Fail")</f>
        <v/>
      </c>
      <c r="H23" s="4">
        <f>IF(F23=D23,"Đã phủ",IF(G23&gt;0,"Có lỗi",IF(E23=0,"Chưa test","Đang test")))</f>
        <v/>
      </c>
    </row>
    <row r="24">
      <c r="A24" s="4" t="inlineStr">
        <is>
          <t>EMP-03</t>
        </is>
      </c>
      <c r="B24" s="4" t="inlineStr">
        <is>
          <t>Nhà tuyển dụng</t>
        </is>
      </c>
      <c r="C24" s="4" t="inlineStr">
        <is>
          <t>P0</t>
        </is>
      </c>
      <c r="D24" s="4" t="n">
        <v>13</v>
      </c>
      <c r="E24" s="4">
        <f>COUNTIFS('Nhà tuyển dụng'!B:B,A24,'Nhà tuyển dụng'!L:L,"&lt;&gt;Chưa chạy")</f>
        <v/>
      </c>
      <c r="F24" s="4">
        <f>COUNTIFS('Nhà tuyển dụng'!B:B,A24,'Nhà tuyển dụng'!L:L,"Pass")</f>
        <v/>
      </c>
      <c r="G24" s="4">
        <f>COUNTIFS('Nhà tuyển dụng'!B:B,A24,'Nhà tuyển dụng'!L:L,"Fail")</f>
        <v/>
      </c>
      <c r="H24" s="4">
        <f>IF(F24=D24,"Đã phủ",IF(G24&gt;0,"Có lỗi",IF(E24=0,"Chưa test","Đang test")))</f>
        <v/>
      </c>
    </row>
    <row r="25">
      <c r="A25" s="4" t="inlineStr">
        <is>
          <t>EMP-04</t>
        </is>
      </c>
      <c r="B25" s="4" t="inlineStr">
        <is>
          <t>Nhà tuyển dụng</t>
        </is>
      </c>
      <c r="C25" s="4" t="inlineStr">
        <is>
          <t>P0</t>
        </is>
      </c>
      <c r="D25" s="4" t="n">
        <v>3</v>
      </c>
      <c r="E25" s="4">
        <f>COUNTIFS('Nhà tuyển dụng'!B:B,A25,'Nhà tuyển dụng'!L:L,"&lt;&gt;Chưa chạy")</f>
        <v/>
      </c>
      <c r="F25" s="4">
        <f>COUNTIFS('Nhà tuyển dụng'!B:B,A25,'Nhà tuyển dụng'!L:L,"Pass")</f>
        <v/>
      </c>
      <c r="G25" s="4">
        <f>COUNTIFS('Nhà tuyển dụng'!B:B,A25,'Nhà tuyển dụng'!L:L,"Fail")</f>
        <v/>
      </c>
      <c r="H25" s="4">
        <f>IF(F25=D25,"Đã phủ",IF(G25&gt;0,"Có lỗi",IF(E25=0,"Chưa test","Đang test")))</f>
        <v/>
      </c>
    </row>
    <row r="26">
      <c r="A26" s="4" t="inlineStr">
        <is>
          <t>EMP-05</t>
        </is>
      </c>
      <c r="B26" s="4" t="inlineStr">
        <is>
          <t>Nhà tuyển dụng</t>
        </is>
      </c>
      <c r="C26" s="4" t="inlineStr">
        <is>
          <t>P0</t>
        </is>
      </c>
      <c r="D26" s="4" t="n">
        <v>12</v>
      </c>
      <c r="E26" s="4">
        <f>COUNTIFS('Nhà tuyển dụng'!B:B,A26,'Nhà tuyển dụng'!L:L,"&lt;&gt;Chưa chạy")</f>
        <v/>
      </c>
      <c r="F26" s="4">
        <f>COUNTIFS('Nhà tuyển dụng'!B:B,A26,'Nhà tuyển dụng'!L:L,"Pass")</f>
        <v/>
      </c>
      <c r="G26" s="4">
        <f>COUNTIFS('Nhà tuyển dụng'!B:B,A26,'Nhà tuyển dụng'!L:L,"Fail")</f>
        <v/>
      </c>
      <c r="H26" s="4">
        <f>IF(F26=D26,"Đã phủ",IF(G26&gt;0,"Có lỗi",IF(E26=0,"Chưa test","Đang test")))</f>
        <v/>
      </c>
    </row>
    <row r="27">
      <c r="A27" s="4" t="inlineStr">
        <is>
          <t>EMP-06</t>
        </is>
      </c>
      <c r="B27" s="4" t="inlineStr">
        <is>
          <t>Nhà tuyển dụng</t>
        </is>
      </c>
      <c r="C27" s="4" t="inlineStr">
        <is>
          <t>P0</t>
        </is>
      </c>
      <c r="D27" s="4" t="n">
        <v>5</v>
      </c>
      <c r="E27" s="4">
        <f>COUNTIFS('Nhà tuyển dụng'!B:B,A27,'Nhà tuyển dụng'!L:L,"&lt;&gt;Chưa chạy")</f>
        <v/>
      </c>
      <c r="F27" s="4">
        <f>COUNTIFS('Nhà tuyển dụng'!B:B,A27,'Nhà tuyển dụng'!L:L,"Pass")</f>
        <v/>
      </c>
      <c r="G27" s="4">
        <f>COUNTIFS('Nhà tuyển dụng'!B:B,A27,'Nhà tuyển dụng'!L:L,"Fail")</f>
        <v/>
      </c>
      <c r="H27" s="4">
        <f>IF(F27=D27,"Đã phủ",IF(G27&gt;0,"Có lỗi",IF(E27=0,"Chưa test","Đang test")))</f>
        <v/>
      </c>
    </row>
    <row r="28">
      <c r="A28" s="4" t="inlineStr">
        <is>
          <t>EMP-07</t>
        </is>
      </c>
      <c r="B28" s="4" t="inlineStr">
        <is>
          <t>Nhà tuyển dụng</t>
        </is>
      </c>
      <c r="C28" s="4" t="inlineStr">
        <is>
          <t>P0</t>
        </is>
      </c>
      <c r="D28" s="4" t="n">
        <v>4</v>
      </c>
      <c r="E28" s="4">
        <f>COUNTIFS('Nhà tuyển dụng'!B:B,A28,'Nhà tuyển dụng'!L:L,"&lt;&gt;Chưa chạy")</f>
        <v/>
      </c>
      <c r="F28" s="4">
        <f>COUNTIFS('Nhà tuyển dụng'!B:B,A28,'Nhà tuyển dụng'!L:L,"Pass")</f>
        <v/>
      </c>
      <c r="G28" s="4">
        <f>COUNTIFS('Nhà tuyển dụng'!B:B,A28,'Nhà tuyển dụng'!L:L,"Fail")</f>
        <v/>
      </c>
      <c r="H28" s="4">
        <f>IF(F28=D28,"Đã phủ",IF(G28&gt;0,"Có lỗi",IF(E28=0,"Chưa test","Đang test")))</f>
        <v/>
      </c>
    </row>
    <row r="29">
      <c r="A29" s="4" t="inlineStr">
        <is>
          <t>EMP-08</t>
        </is>
      </c>
      <c r="B29" s="4" t="inlineStr">
        <is>
          <t>Nhà tuyển dụng</t>
        </is>
      </c>
      <c r="C29" s="4" t="inlineStr">
        <is>
          <t>P0</t>
        </is>
      </c>
      <c r="D29" s="4" t="n">
        <v>2</v>
      </c>
      <c r="E29" s="4">
        <f>COUNTIFS('Nhà tuyển dụng'!B:B,A29,'Nhà tuyển dụng'!L:L,"&lt;&gt;Chưa chạy")</f>
        <v/>
      </c>
      <c r="F29" s="4">
        <f>COUNTIFS('Nhà tuyển dụng'!B:B,A29,'Nhà tuyển dụng'!L:L,"Pass")</f>
        <v/>
      </c>
      <c r="G29" s="4">
        <f>COUNTIFS('Nhà tuyển dụng'!B:B,A29,'Nhà tuyển dụng'!L:L,"Fail")</f>
        <v/>
      </c>
      <c r="H29" s="4">
        <f>IF(F29=D29,"Đã phủ",IF(G29&gt;0,"Có lỗi",IF(E29=0,"Chưa test","Đang test")))</f>
        <v/>
      </c>
    </row>
    <row r="30">
      <c r="A30" s="4" t="inlineStr">
        <is>
          <t>EMP-09</t>
        </is>
      </c>
      <c r="B30" s="4" t="inlineStr">
        <is>
          <t>Nhà tuyển dụng</t>
        </is>
      </c>
      <c r="C30" s="4" t="inlineStr">
        <is>
          <t>P1</t>
        </is>
      </c>
      <c r="D30" s="4" t="n">
        <v>2</v>
      </c>
      <c r="E30" s="4">
        <f>COUNTIFS('Nhà tuyển dụng'!B:B,A30,'Nhà tuyển dụng'!L:L,"&lt;&gt;Chưa chạy")</f>
        <v/>
      </c>
      <c r="F30" s="4">
        <f>COUNTIFS('Nhà tuyển dụng'!B:B,A30,'Nhà tuyển dụng'!L:L,"Pass")</f>
        <v/>
      </c>
      <c r="G30" s="4">
        <f>COUNTIFS('Nhà tuyển dụng'!B:B,A30,'Nhà tuyển dụng'!L:L,"Fail")</f>
        <v/>
      </c>
      <c r="H30" s="4">
        <f>IF(F30=D30,"Đã phủ",IF(G30&gt;0,"Có lỗi",IF(E30=0,"Chưa test","Đang test")))</f>
        <v/>
      </c>
    </row>
    <row r="31">
      <c r="A31" s="4" t="inlineStr">
        <is>
          <t>EMP-10</t>
        </is>
      </c>
      <c r="B31" s="4" t="inlineStr">
        <is>
          <t>Nhà tuyển dụng</t>
        </is>
      </c>
      <c r="C31" s="4" t="inlineStr">
        <is>
          <t>P1</t>
        </is>
      </c>
      <c r="D31" s="4" t="n">
        <v>3</v>
      </c>
      <c r="E31" s="4">
        <f>COUNTIFS('Nhà tuyển dụng'!B:B,A31,'Nhà tuyển dụng'!L:L,"&lt;&gt;Chưa chạy")</f>
        <v/>
      </c>
      <c r="F31" s="4">
        <f>COUNTIFS('Nhà tuyển dụng'!B:B,A31,'Nhà tuyển dụng'!L:L,"Pass")</f>
        <v/>
      </c>
      <c r="G31" s="4">
        <f>COUNTIFS('Nhà tuyển dụng'!B:B,A31,'Nhà tuyển dụng'!L:L,"Fail")</f>
        <v/>
      </c>
      <c r="H31" s="4">
        <f>IF(F31=D31,"Đã phủ",IF(G31&gt;0,"Có lỗi",IF(E31=0,"Chưa test","Đang test")))</f>
        <v/>
      </c>
    </row>
    <row r="32">
      <c r="A32" s="4" t="inlineStr">
        <is>
          <t>EMP-11</t>
        </is>
      </c>
      <c r="B32" s="4" t="inlineStr">
        <is>
          <t>Nhà tuyển dụng</t>
        </is>
      </c>
      <c r="C32" s="4" t="inlineStr">
        <is>
          <t>P2</t>
        </is>
      </c>
      <c r="D32" s="4" t="n">
        <v>17</v>
      </c>
      <c r="E32" s="4">
        <f>COUNTIFS('Nhà tuyển dụng'!B:B,A32,'Nhà tuyển dụng'!L:L,"&lt;&gt;Chưa chạy")</f>
        <v/>
      </c>
      <c r="F32" s="4">
        <f>COUNTIFS('Nhà tuyển dụng'!B:B,A32,'Nhà tuyển dụng'!L:L,"Pass")</f>
        <v/>
      </c>
      <c r="G32" s="4">
        <f>COUNTIFS('Nhà tuyển dụng'!B:B,A32,'Nhà tuyển dụng'!L:L,"Fail")</f>
        <v/>
      </c>
      <c r="H32" s="4">
        <f>IF(F32=D32,"Đã phủ",IF(G32&gt;0,"Có lỗi",IF(E32=0,"Chưa test","Đang test")))</f>
        <v/>
      </c>
    </row>
    <row r="33">
      <c r="A33" s="4" t="inlineStr">
        <is>
          <t>ADM-01</t>
        </is>
      </c>
      <c r="B33" s="4" t="inlineStr">
        <is>
          <t>Admin</t>
        </is>
      </c>
      <c r="C33" s="4" t="inlineStr">
        <is>
          <t>P0</t>
        </is>
      </c>
      <c r="D33" s="4" t="n">
        <v>3</v>
      </c>
      <c r="E33" s="4">
        <f>COUNTIFS('Admin'!B:B,A33,'Admin'!L:L,"&lt;&gt;Chưa chạy")</f>
        <v/>
      </c>
      <c r="F33" s="4">
        <f>COUNTIFS('Admin'!B:B,A33,'Admin'!L:L,"Pass")</f>
        <v/>
      </c>
      <c r="G33" s="4">
        <f>COUNTIFS('Admin'!B:B,A33,'Admin'!L:L,"Fail")</f>
        <v/>
      </c>
      <c r="H33" s="4">
        <f>IF(F33=D33,"Đã phủ",IF(G33&gt;0,"Có lỗi",IF(E33=0,"Chưa test","Đang test")))</f>
        <v/>
      </c>
    </row>
    <row r="34">
      <c r="A34" s="4" t="inlineStr">
        <is>
          <t>ADM-02</t>
        </is>
      </c>
      <c r="B34" s="4" t="inlineStr">
        <is>
          <t>Admin</t>
        </is>
      </c>
      <c r="C34" s="4" t="inlineStr">
        <is>
          <t>P1</t>
        </is>
      </c>
      <c r="D34" s="4" t="n">
        <v>1</v>
      </c>
      <c r="E34" s="4">
        <f>COUNTIFS('Admin'!B:B,A34,'Admin'!L:L,"&lt;&gt;Chưa chạy")</f>
        <v/>
      </c>
      <c r="F34" s="4">
        <f>COUNTIFS('Admin'!B:B,A34,'Admin'!L:L,"Pass")</f>
        <v/>
      </c>
      <c r="G34" s="4">
        <f>COUNTIFS('Admin'!B:B,A34,'Admin'!L:L,"Fail")</f>
        <v/>
      </c>
      <c r="H34" s="4">
        <f>IF(F34=D34,"Đã phủ",IF(G34&gt;0,"Có lỗi",IF(E34=0,"Chưa test","Đang test")))</f>
        <v/>
      </c>
    </row>
    <row r="35">
      <c r="A35" s="4" t="inlineStr">
        <is>
          <t>ADM-03</t>
        </is>
      </c>
      <c r="B35" s="4" t="inlineStr">
        <is>
          <t>Admin</t>
        </is>
      </c>
      <c r="C35" s="4" t="inlineStr">
        <is>
          <t>P0</t>
        </is>
      </c>
      <c r="D35" s="4" t="n">
        <v>6</v>
      </c>
      <c r="E35" s="4">
        <f>COUNTIFS('Admin'!B:B,A35,'Admin'!L:L,"&lt;&gt;Chưa chạy")</f>
        <v/>
      </c>
      <c r="F35" s="4">
        <f>COUNTIFS('Admin'!B:B,A35,'Admin'!L:L,"Pass")</f>
        <v/>
      </c>
      <c r="G35" s="4">
        <f>COUNTIFS('Admin'!B:B,A35,'Admin'!L:L,"Fail")</f>
        <v/>
      </c>
      <c r="H35" s="4">
        <f>IF(F35=D35,"Đã phủ",IF(G35&gt;0,"Có lỗi",IF(E35=0,"Chưa test","Đang test")))</f>
        <v/>
      </c>
    </row>
    <row r="36">
      <c r="A36" s="4" t="inlineStr">
        <is>
          <t>ADM-04</t>
        </is>
      </c>
      <c r="B36" s="4" t="inlineStr">
        <is>
          <t>Admin</t>
        </is>
      </c>
      <c r="C36" s="4" t="inlineStr">
        <is>
          <t>P0</t>
        </is>
      </c>
      <c r="D36" s="4" t="n">
        <v>4</v>
      </c>
      <c r="E36" s="4">
        <f>COUNTIFS('Admin'!B:B,A36,'Admin'!L:L,"&lt;&gt;Chưa chạy")</f>
        <v/>
      </c>
      <c r="F36" s="4">
        <f>COUNTIFS('Admin'!B:B,A36,'Admin'!L:L,"Pass")</f>
        <v/>
      </c>
      <c r="G36" s="4">
        <f>COUNTIFS('Admin'!B:B,A36,'Admin'!L:L,"Fail")</f>
        <v/>
      </c>
      <c r="H36" s="4">
        <f>IF(F36=D36,"Đã phủ",IF(G36&gt;0,"Có lỗi",IF(E36=0,"Chưa test","Đang test")))</f>
        <v/>
      </c>
    </row>
    <row r="37">
      <c r="A37" s="4" t="inlineStr">
        <is>
          <t>ADM-05</t>
        </is>
      </c>
      <c r="B37" s="4" t="inlineStr">
        <is>
          <t>Admin</t>
        </is>
      </c>
      <c r="C37" s="4" t="inlineStr">
        <is>
          <t>P0</t>
        </is>
      </c>
      <c r="D37" s="4" t="n">
        <v>7</v>
      </c>
      <c r="E37" s="4">
        <f>COUNTIFS('Admin'!B:B,A37,'Admin'!L:L,"&lt;&gt;Chưa chạy")</f>
        <v/>
      </c>
      <c r="F37" s="4">
        <f>COUNTIFS('Admin'!B:B,A37,'Admin'!L:L,"Pass")</f>
        <v/>
      </c>
      <c r="G37" s="4">
        <f>COUNTIFS('Admin'!B:B,A37,'Admin'!L:L,"Fail")</f>
        <v/>
      </c>
      <c r="H37" s="4">
        <f>IF(F37=D37,"Đã phủ",IF(G37&gt;0,"Có lỗi",IF(E37=0,"Chưa test","Đang test")))</f>
        <v/>
      </c>
    </row>
    <row r="38">
      <c r="A38" s="4" t="inlineStr">
        <is>
          <t>ADM-06</t>
        </is>
      </c>
      <c r="B38" s="4" t="inlineStr">
        <is>
          <t>Admin</t>
        </is>
      </c>
      <c r="C38" s="4" t="inlineStr">
        <is>
          <t>P0</t>
        </is>
      </c>
      <c r="D38" s="4" t="n">
        <v>6</v>
      </c>
      <c r="E38" s="4">
        <f>COUNTIFS('Admin'!B:B,A38,'Admin'!L:L,"&lt;&gt;Chưa chạy")</f>
        <v/>
      </c>
      <c r="F38" s="4">
        <f>COUNTIFS('Admin'!B:B,A38,'Admin'!L:L,"Pass")</f>
        <v/>
      </c>
      <c r="G38" s="4">
        <f>COUNTIFS('Admin'!B:B,A38,'Admin'!L:L,"Fail")</f>
        <v/>
      </c>
      <c r="H38" s="4">
        <f>IF(F38=D38,"Đã phủ",IF(G38&gt;0,"Có lỗi",IF(E38=0,"Chưa test","Đang test")))</f>
        <v/>
      </c>
    </row>
    <row r="39">
      <c r="A39" s="4" t="inlineStr">
        <is>
          <t>ADM-07</t>
        </is>
      </c>
      <c r="B39" s="4" t="inlineStr">
        <is>
          <t>Admin</t>
        </is>
      </c>
      <c r="C39" s="4" t="inlineStr">
        <is>
          <t>P0</t>
        </is>
      </c>
      <c r="D39" s="4" t="n">
        <v>5</v>
      </c>
      <c r="E39" s="4">
        <f>COUNTIFS('Admin'!B:B,A39,'Admin'!L:L,"&lt;&gt;Chưa chạy")</f>
        <v/>
      </c>
      <c r="F39" s="4">
        <f>COUNTIFS('Admin'!B:B,A39,'Admin'!L:L,"Pass")</f>
        <v/>
      </c>
      <c r="G39" s="4">
        <f>COUNTIFS('Admin'!B:B,A39,'Admin'!L:L,"Fail")</f>
        <v/>
      </c>
      <c r="H39" s="4">
        <f>IF(F39=D39,"Đã phủ",IF(G39&gt;0,"Có lỗi",IF(E39=0,"Chưa test","Đang test")))</f>
        <v/>
      </c>
    </row>
    <row r="40">
      <c r="A40" s="4" t="inlineStr">
        <is>
          <t>ADM-08</t>
        </is>
      </c>
      <c r="B40" s="4" t="inlineStr">
        <is>
          <t>Admin</t>
        </is>
      </c>
      <c r="C40" s="4" t="inlineStr">
        <is>
          <t>P1</t>
        </is>
      </c>
      <c r="D40" s="4" t="n">
        <v>5</v>
      </c>
      <c r="E40" s="4">
        <f>COUNTIFS('Admin'!B:B,A40,'Admin'!L:L,"&lt;&gt;Chưa chạy")</f>
        <v/>
      </c>
      <c r="F40" s="4">
        <f>COUNTIFS('Admin'!B:B,A40,'Admin'!L:L,"Pass")</f>
        <v/>
      </c>
      <c r="G40" s="4">
        <f>COUNTIFS('Admin'!B:B,A40,'Admin'!L:L,"Fail")</f>
        <v/>
      </c>
      <c r="H40" s="4">
        <f>IF(F40=D40,"Đã phủ",IF(G40&gt;0,"Có lỗi",IF(E40=0,"Chưa test","Đang test")))</f>
        <v/>
      </c>
    </row>
    <row r="41">
      <c r="A41" s="4" t="inlineStr">
        <is>
          <t>ADM-09</t>
        </is>
      </c>
      <c r="B41" s="4" t="inlineStr">
        <is>
          <t>Admin</t>
        </is>
      </c>
      <c r="C41" s="4" t="inlineStr">
        <is>
          <t>P1</t>
        </is>
      </c>
      <c r="D41" s="4" t="n">
        <v>4</v>
      </c>
      <c r="E41" s="4">
        <f>COUNTIFS('Admin'!B:B,A41,'Admin'!L:L,"&lt;&gt;Chưa chạy")</f>
        <v/>
      </c>
      <c r="F41" s="4">
        <f>COUNTIFS('Admin'!B:B,A41,'Admin'!L:L,"Pass")</f>
        <v/>
      </c>
      <c r="G41" s="4">
        <f>COUNTIFS('Admin'!B:B,A41,'Admin'!L:L,"Fail")</f>
        <v/>
      </c>
      <c r="H41" s="4">
        <f>IF(F41=D41,"Đã phủ",IF(G41&gt;0,"Có lỗi",IF(E41=0,"Chưa test","Đang test")))</f>
        <v/>
      </c>
    </row>
    <row r="42">
      <c r="A42" s="4" t="inlineStr">
        <is>
          <t>ADM-10</t>
        </is>
      </c>
      <c r="B42" s="4" t="inlineStr">
        <is>
          <t>Admin</t>
        </is>
      </c>
      <c r="C42" s="4" t="inlineStr">
        <is>
          <t>P1</t>
        </is>
      </c>
      <c r="D42" s="4" t="n">
        <v>3</v>
      </c>
      <c r="E42" s="4">
        <f>COUNTIFS('Admin'!B:B,A42,'Admin'!L:L,"&lt;&gt;Chưa chạy")</f>
        <v/>
      </c>
      <c r="F42" s="4">
        <f>COUNTIFS('Admin'!B:B,A42,'Admin'!L:L,"Pass")</f>
        <v/>
      </c>
      <c r="G42" s="4">
        <f>COUNTIFS('Admin'!B:B,A42,'Admin'!L:L,"Fail")</f>
        <v/>
      </c>
      <c r="H42" s="4">
        <f>IF(F42=D42,"Đã phủ",IF(G42&gt;0,"Có lỗi",IF(E42=0,"Chưa test","Đang test")))</f>
        <v/>
      </c>
    </row>
    <row r="43">
      <c r="A43" s="4" t="inlineStr">
        <is>
          <t>ADM-11</t>
        </is>
      </c>
      <c r="B43" s="4" t="inlineStr">
        <is>
          <t>Admin</t>
        </is>
      </c>
      <c r="C43" s="4" t="inlineStr">
        <is>
          <t>P1</t>
        </is>
      </c>
      <c r="D43" s="4" t="n">
        <v>3</v>
      </c>
      <c r="E43" s="4">
        <f>COUNTIFS('Admin'!B:B,A43,'Admin'!L:L,"&lt;&gt;Chưa chạy")</f>
        <v/>
      </c>
      <c r="F43" s="4">
        <f>COUNTIFS('Admin'!B:B,A43,'Admin'!L:L,"Pass")</f>
        <v/>
      </c>
      <c r="G43" s="4">
        <f>COUNTIFS('Admin'!B:B,A43,'Admin'!L:L,"Fail")</f>
        <v/>
      </c>
      <c r="H43" s="4">
        <f>IF(F43=D43,"Đã phủ",IF(G43&gt;0,"Có lỗi",IF(E43=0,"Chưa test","Đang test")))</f>
        <v/>
      </c>
    </row>
    <row r="44">
      <c r="A44" s="4" t="inlineStr">
        <is>
          <t>§5.1</t>
        </is>
      </c>
      <c r="B44" s="4" t="inlineStr">
        <is>
          <t>Quy tắc trạng thái</t>
        </is>
      </c>
      <c r="C44" s="4" t="inlineStr">
        <is>
          <t>P0</t>
        </is>
      </c>
      <c r="D44" s="4" t="n">
        <v>8</v>
      </c>
      <c r="E44" s="4">
        <f>COUNTIFS('Quy tắc trạng thái'!B:B,A44,'Quy tắc trạng thái'!L:L,"&lt;&gt;Chưa chạy")</f>
        <v/>
      </c>
      <c r="F44" s="4">
        <f>COUNTIFS('Quy tắc trạng thái'!B:B,A44,'Quy tắc trạng thái'!L:L,"Pass")</f>
        <v/>
      </c>
      <c r="G44" s="4">
        <f>COUNTIFS('Quy tắc trạng thái'!B:B,A44,'Quy tắc trạng thái'!L:L,"Fail")</f>
        <v/>
      </c>
      <c r="H44" s="4">
        <f>IF(F44=D44,"Đã phủ",IF(G44&gt;0,"Có lỗi",IF(E44=0,"Chưa test","Đang test")))</f>
        <v/>
      </c>
    </row>
    <row r="45">
      <c r="A45" s="4" t="inlineStr">
        <is>
          <t>§5.2</t>
        </is>
      </c>
      <c r="B45" s="4" t="inlineStr">
        <is>
          <t>Quy tắc trạng thái</t>
        </is>
      </c>
      <c r="C45" s="4" t="inlineStr">
        <is>
          <t>P0</t>
        </is>
      </c>
      <c r="D45" s="4" t="n">
        <v>13</v>
      </c>
      <c r="E45" s="4">
        <f>COUNTIFS('Quy tắc trạng thái'!B:B,A45,'Quy tắc trạng thái'!L:L,"&lt;&gt;Chưa chạy")</f>
        <v/>
      </c>
      <c r="F45" s="4">
        <f>COUNTIFS('Quy tắc trạng thái'!B:B,A45,'Quy tắc trạng thái'!L:L,"Pass")</f>
        <v/>
      </c>
      <c r="G45" s="4">
        <f>COUNTIFS('Quy tắc trạng thái'!B:B,A45,'Quy tắc trạng thái'!L:L,"Fail")</f>
        <v/>
      </c>
      <c r="H45" s="4">
        <f>IF(F45=D45,"Đã phủ",IF(G45&gt;0,"Có lỗi",IF(E45=0,"Chưa test","Đang test")))</f>
        <v/>
      </c>
    </row>
    <row r="46">
      <c r="A46" s="4" t="inlineStr">
        <is>
          <t>§5.3</t>
        </is>
      </c>
      <c r="B46" s="4" t="inlineStr">
        <is>
          <t>Quy tắc trạng thái</t>
        </is>
      </c>
      <c r="C46" s="4" t="inlineStr">
        <is>
          <t>P0</t>
        </is>
      </c>
      <c r="D46" s="4" t="n">
        <v>3</v>
      </c>
      <c r="E46" s="4">
        <f>COUNTIFS('Quy tắc trạng thái'!B:B,A46,'Quy tắc trạng thái'!L:L,"&lt;&gt;Chưa chạy")</f>
        <v/>
      </c>
      <c r="F46" s="4">
        <f>COUNTIFS('Quy tắc trạng thái'!B:B,A46,'Quy tắc trạng thái'!L:L,"Pass")</f>
        <v/>
      </c>
      <c r="G46" s="4">
        <f>COUNTIFS('Quy tắc trạng thái'!B:B,A46,'Quy tắc trạng thái'!L:L,"Fail")</f>
        <v/>
      </c>
      <c r="H46" s="4">
        <f>IF(F46=D46,"Đã phủ",IF(G46&gt;0,"Có lỗi",IF(E46=0,"Chưa test","Đang test")))</f>
        <v/>
      </c>
    </row>
    <row r="47">
      <c r="A47" s="4" t="inlineStr">
        <is>
          <t>§6.1</t>
        </is>
      </c>
      <c r="B47" s="4" t="inlineStr">
        <is>
          <t>Phi chức năng</t>
        </is>
      </c>
      <c r="C47" s="4" t="inlineStr">
        <is>
          <t>P0</t>
        </is>
      </c>
      <c r="D47" s="4" t="n">
        <v>13</v>
      </c>
      <c r="E47" s="4">
        <f>COUNTIFS('Phi chức năng'!B:B,A47,'Phi chức năng'!L:L,"&lt;&gt;Chưa chạy")</f>
        <v/>
      </c>
      <c r="F47" s="4">
        <f>COUNTIFS('Phi chức năng'!B:B,A47,'Phi chức năng'!L:L,"Pass")</f>
        <v/>
      </c>
      <c r="G47" s="4">
        <f>COUNTIFS('Phi chức năng'!B:B,A47,'Phi chức năng'!L:L,"Fail")</f>
        <v/>
      </c>
      <c r="H47" s="4">
        <f>IF(F47=D47,"Đã phủ",IF(G47&gt;0,"Có lỗi",IF(E47=0,"Chưa test","Đang test")))</f>
        <v/>
      </c>
    </row>
    <row r="48">
      <c r="A48" s="4" t="inlineStr">
        <is>
          <t>§6.2</t>
        </is>
      </c>
      <c r="B48" s="4" t="inlineStr">
        <is>
          <t>Phi chức năng</t>
        </is>
      </c>
      <c r="C48" s="4" t="inlineStr">
        <is>
          <t>P1</t>
        </is>
      </c>
      <c r="D48" s="4" t="n">
        <v>3</v>
      </c>
      <c r="E48" s="4">
        <f>COUNTIFS('Phi chức năng'!B:B,A48,'Phi chức năng'!L:L,"&lt;&gt;Chưa chạy")</f>
        <v/>
      </c>
      <c r="F48" s="4">
        <f>COUNTIFS('Phi chức năng'!B:B,A48,'Phi chức năng'!L:L,"Pass")</f>
        <v/>
      </c>
      <c r="G48" s="4">
        <f>COUNTIFS('Phi chức năng'!B:B,A48,'Phi chức năng'!L:L,"Fail")</f>
        <v/>
      </c>
      <c r="H48" s="4">
        <f>IF(F48=D48,"Đã phủ",IF(G48&gt;0,"Có lỗi",IF(E48=0,"Chưa test","Đang test")))</f>
        <v/>
      </c>
    </row>
    <row r="49">
      <c r="A49" s="4" t="inlineStr">
        <is>
          <t>§6.3</t>
        </is>
      </c>
      <c r="B49" s="4" t="inlineStr">
        <is>
          <t>Phi chức năng</t>
        </is>
      </c>
      <c r="C49" s="4" t="inlineStr">
        <is>
          <t>P1</t>
        </is>
      </c>
      <c r="D49" s="4" t="n">
        <v>3</v>
      </c>
      <c r="E49" s="4">
        <f>COUNTIFS('Phi chức năng'!B:B,A49,'Phi chức năng'!L:L,"&lt;&gt;Chưa chạy")</f>
        <v/>
      </c>
      <c r="F49" s="4">
        <f>COUNTIFS('Phi chức năng'!B:B,A49,'Phi chức năng'!L:L,"Pass")</f>
        <v/>
      </c>
      <c r="G49" s="4">
        <f>COUNTIFS('Phi chức năng'!B:B,A49,'Phi chức năng'!L:L,"Fail")</f>
        <v/>
      </c>
      <c r="H49" s="4">
        <f>IF(F49=D49,"Đã phủ",IF(G49&gt;0,"Có lỗi",IF(E49=0,"Chưa test","Đang test")))</f>
        <v/>
      </c>
    </row>
    <row r="50">
      <c r="A50" s="4" t="inlineStr">
        <is>
          <t>§6.4</t>
        </is>
      </c>
      <c r="B50" s="4" t="inlineStr">
        <is>
          <t>Phi chức năng</t>
        </is>
      </c>
      <c r="C50" s="4" t="inlineStr">
        <is>
          <t>P1</t>
        </is>
      </c>
      <c r="D50" s="4" t="n">
        <v>6</v>
      </c>
      <c r="E50" s="4">
        <f>COUNTIFS('Phi chức năng'!B:B,A50,'Phi chức năng'!L:L,"&lt;&gt;Chưa chạy")</f>
        <v/>
      </c>
      <c r="F50" s="4">
        <f>COUNTIFS('Phi chức năng'!B:B,A50,'Phi chức năng'!L:L,"Pass")</f>
        <v/>
      </c>
      <c r="G50" s="4">
        <f>COUNTIFS('Phi chức năng'!B:B,A50,'Phi chức năng'!L:L,"Fail")</f>
        <v/>
      </c>
      <c r="H50" s="4">
        <f>IF(F50=D50,"Đã phủ",IF(G50&gt;0,"Có lỗi",IF(E50=0,"Chưa test","Đang test")))</f>
        <v/>
      </c>
    </row>
    <row r="51">
      <c r="A51" s="4" t="inlineStr">
        <is>
          <t>§6.5</t>
        </is>
      </c>
      <c r="B51" s="4" t="inlineStr">
        <is>
          <t>Phi chức năng</t>
        </is>
      </c>
      <c r="C51" s="4" t="inlineStr">
        <is>
          <t>P2</t>
        </is>
      </c>
      <c r="D51" s="4" t="n">
        <v>3</v>
      </c>
      <c r="E51" s="4">
        <f>COUNTIFS('Phi chức năng'!B:B,A51,'Phi chức năng'!L:L,"&lt;&gt;Chưa chạy")</f>
        <v/>
      </c>
      <c r="F51" s="4">
        <f>COUNTIFS('Phi chức năng'!B:B,A51,'Phi chức năng'!L:L,"Pass")</f>
        <v/>
      </c>
      <c r="G51" s="4">
        <f>COUNTIFS('Phi chức năng'!B:B,A51,'Phi chức năng'!L:L,"Fail")</f>
        <v/>
      </c>
      <c r="H51" s="4">
        <f>IF(F51=D51,"Đã phủ",IF(G51&gt;0,"Có lỗi",IF(E51=0,"Chưa test","Đang test")))</f>
        <v/>
      </c>
    </row>
    <row r="52">
      <c r="A52" s="4" t="inlineStr">
        <is>
          <t>§6.6</t>
        </is>
      </c>
      <c r="B52" s="4" t="inlineStr">
        <is>
          <t>Phi chức năng</t>
        </is>
      </c>
      <c r="C52" s="4" t="inlineStr">
        <is>
          <t>P1</t>
        </is>
      </c>
      <c r="D52" s="4" t="n">
        <v>1</v>
      </c>
      <c r="E52" s="4">
        <f>COUNTIFS('Phi chức năng'!B:B,A52,'Phi chức năng'!L:L,"&lt;&gt;Chưa chạy")</f>
        <v/>
      </c>
      <c r="F52" s="4">
        <f>COUNTIFS('Phi chức năng'!B:B,A52,'Phi chức năng'!L:L,"Pass")</f>
        <v/>
      </c>
      <c r="G52" s="4">
        <f>COUNTIFS('Phi chức năng'!B:B,A52,'Phi chức năng'!L:L,"Fail")</f>
        <v/>
      </c>
      <c r="H52" s="4">
        <f>IF(F52=D52,"Đã phủ",IF(G52&gt;0,"Có lỗi",IF(E52=0,"Chưa test","Đang test")))</f>
        <v/>
      </c>
    </row>
  </sheetData>
  <autoFilter ref="A1:H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38" customWidth="1" min="4" max="4"/>
    <col width="32" customWidth="1" min="5" max="5"/>
    <col width="32" customWidth="1" min="6" max="6"/>
    <col width="48" customWidth="1" min="7" max="7"/>
    <col width="52" customWidth="1" min="8" max="8"/>
    <col width="8" customWidth="1" min="9" max="9"/>
    <col width="12" customWidth="1" min="10" max="10"/>
    <col width="30" customWidth="1" min="11" max="11"/>
    <col width="12" customWidth="1" min="12" max="12"/>
    <col width="12" customWidth="1" min="13" max="13"/>
    <col width="12" customWidth="1" min="14" max="14"/>
    <col width="10" customWidth="1" min="15" max="15"/>
    <col width="20" customWidth="1" min="16" max="16"/>
  </cols>
  <sheetData>
    <row r="1">
      <c r="A1" s="10" t="inlineStr">
        <is>
          <t>Mã TC</t>
        </is>
      </c>
      <c r="B1" s="10" t="inlineStr">
        <is>
          <t>Mã yêu cầu</t>
        </is>
      </c>
      <c r="C1" s="10" t="inlineStr">
        <is>
          <t>Module</t>
        </is>
      </c>
      <c r="D1" s="10" t="inlineStr">
        <is>
          <t>Tiêu đề</t>
        </is>
      </c>
      <c r="E1" s="10" t="inlineStr">
        <is>
          <t>Tiền điều kiện</t>
        </is>
      </c>
      <c r="F1" s="10" t="inlineStr">
        <is>
          <t>Dữ liệu test</t>
        </is>
      </c>
      <c r="G1" s="10" t="inlineStr">
        <is>
          <t>Các bước</t>
        </is>
      </c>
      <c r="H1" s="10" t="inlineStr">
        <is>
          <t>Kết quả mong đợi</t>
        </is>
      </c>
      <c r="I1" s="10" t="inlineStr">
        <is>
          <t>Ưu tiên</t>
        </is>
      </c>
      <c r="J1" s="10" t="inlineStr">
        <is>
          <t>Loại</t>
        </is>
      </c>
      <c r="K1" s="10" t="inlineStr">
        <is>
          <t>Kết quả thực tế</t>
        </is>
      </c>
      <c r="L1" s="10" t="inlineStr">
        <is>
          <t>Trạng thái</t>
        </is>
      </c>
      <c r="M1" s="10" t="inlineStr">
        <is>
          <t>Người test</t>
        </is>
      </c>
      <c r="N1" s="10" t="inlineStr">
        <is>
          <t>Ngày test</t>
        </is>
      </c>
      <c r="O1" s="10" t="inlineStr">
        <is>
          <t>Mã bug</t>
        </is>
      </c>
      <c r="P1" s="10" t="inlineStr">
        <is>
          <t>Ghi chú</t>
        </is>
      </c>
    </row>
    <row r="2">
      <c r="A2" s="11" t="inlineStr">
        <is>
          <t>TC-AUTH01-001</t>
        </is>
      </c>
      <c r="B2" s="11" t="inlineStr">
        <is>
          <t>AUTH-01</t>
        </is>
      </c>
      <c r="C2" s="11" t="inlineStr">
        <is>
          <t>Xác thực</t>
        </is>
      </c>
      <c r="D2" s="11" t="inlineStr">
        <is>
          <t>Đăng ký ứng viên thành công</t>
        </is>
      </c>
      <c r="E2" s="11" t="inlineStr">
        <is>
          <t>Chưa đăng nhập; email chưa tồn tại</t>
        </is>
      </c>
      <c r="F2" s="11" t="inlineStr">
        <is>
          <t>Email: qa.uv01@test.local; MK: Qa123456; Họ tên: QA Ứng viên 01</t>
        </is>
      </c>
      <c r="G2" s="11" t="inlineStr">
        <is>
          <t>1. Mở /register
2. Chọn vai trò Ứng viên
3. Nhập họ tên, email, mật khẩu
4. Bấm Đăng ký</t>
        </is>
      </c>
      <c r="H2" s="11" t="inlineStr">
        <is>
          <t>Tạo tài khoản, tự đăng nhập và vào khu vực ứng viên; email xác minh được gửi (xem terminal API)</t>
        </is>
      </c>
      <c r="I2" s="11" t="inlineStr">
        <is>
          <t>P0</t>
        </is>
      </c>
      <c r="J2" s="11" t="inlineStr">
        <is>
          <t>Chức năng</t>
        </is>
      </c>
      <c r="K2" s="11" t="inlineStr"/>
      <c r="L2" s="11" t="inlineStr">
        <is>
          <t>Chưa chạy</t>
        </is>
      </c>
      <c r="M2" s="11" t="inlineStr"/>
      <c r="N2" s="11" t="inlineStr"/>
      <c r="O2" s="11" t="inlineStr"/>
      <c r="P2" s="11" t="inlineStr"/>
    </row>
    <row r="3">
      <c r="A3" s="11" t="inlineStr">
        <is>
          <t>TC-AUTH01-002</t>
        </is>
      </c>
      <c r="B3" s="11" t="inlineStr">
        <is>
          <t>AUTH-01</t>
        </is>
      </c>
      <c r="C3" s="11" t="inlineStr">
        <is>
          <t>Xác thực</t>
        </is>
      </c>
      <c r="D3" s="11" t="inlineStr">
        <is>
          <t>Đăng ký nhà tuyển dụng thành công</t>
        </is>
      </c>
      <c r="E3" s="11" t="inlineStr">
        <is>
          <t>Chưa đăng nhập; email chưa tồn tại</t>
        </is>
      </c>
      <c r="F3" s="11" t="inlineStr">
        <is>
          <t>Email: qa.ntd01@test.local; MK: Qa123456</t>
        </is>
      </c>
      <c r="G3" s="11" t="inlineStr">
        <is>
          <t>1. Mở /register
2. Chọn vai trò Nhà tuyển dụng
3. Nhập thông tin
4. Bấm Đăng ký</t>
        </is>
      </c>
      <c r="H3" s="11" t="inlineStr">
        <is>
          <t>Tạo tài khoản NTD, vào khu vực /employer; được nhắc tạo hồ sơ công ty</t>
        </is>
      </c>
      <c r="I3" s="11" t="inlineStr">
        <is>
          <t>P0</t>
        </is>
      </c>
      <c r="J3" s="11" t="inlineStr">
        <is>
          <t>Chức năng</t>
        </is>
      </c>
      <c r="K3" s="11" t="inlineStr"/>
      <c r="L3" s="11" t="inlineStr">
        <is>
          <t>Chưa chạy</t>
        </is>
      </c>
      <c r="M3" s="11" t="inlineStr"/>
      <c r="N3" s="11" t="inlineStr"/>
      <c r="O3" s="11" t="inlineStr"/>
      <c r="P3" s="11" t="inlineStr"/>
    </row>
    <row r="4">
      <c r="A4" s="11" t="inlineStr">
        <is>
          <t>TC-AUTH01-003</t>
        </is>
      </c>
      <c r="B4" s="11" t="inlineStr">
        <is>
          <t>AUTH-01</t>
        </is>
      </c>
      <c r="C4" s="11" t="inlineStr">
        <is>
          <t>Xác thực</t>
        </is>
      </c>
      <c r="D4" s="11" t="inlineStr">
        <is>
          <t>Không tự đăng ký được tài khoản Admin</t>
        </is>
      </c>
      <c r="E4" s="11" t="inlineStr">
        <is>
          <t>Chưa đăng nhập</t>
        </is>
      </c>
      <c r="F4" s="11" t="inlineStr">
        <is>
          <t>Body API: role = "ADMIN"</t>
        </is>
      </c>
      <c r="G4" s="11" t="inlineStr">
        <is>
          <t>1. Mở trang /register: kiểm tra lựa chọn vai trò
2. Gọi POST /api/auth/register với role ADMIN (Swagger/Postman)</t>
        </is>
      </c>
      <c r="H4" s="11" t="inlineStr">
        <is>
          <t>UI chỉ có Ứng viên / Nhà tuyển dụng; API trả 400, không tạo tài khoản admin</t>
        </is>
      </c>
      <c r="I4" s="11" t="inlineStr">
        <is>
          <t>P0</t>
        </is>
      </c>
      <c r="J4" s="11" t="inlineStr">
        <is>
          <t>Phân quyền</t>
        </is>
      </c>
      <c r="K4" s="11" t="inlineStr"/>
      <c r="L4" s="11" t="inlineStr">
        <is>
          <t>Chưa chạy</t>
        </is>
      </c>
      <c r="M4" s="11" t="inlineStr"/>
      <c r="N4" s="11" t="inlineStr"/>
      <c r="O4" s="11" t="inlineStr"/>
      <c r="P4" s="11" t="inlineStr"/>
    </row>
    <row r="5">
      <c r="A5" s="11" t="inlineStr">
        <is>
          <t>TC-AUTH01-004</t>
        </is>
      </c>
      <c r="B5" s="11" t="inlineStr">
        <is>
          <t>AUTH-01</t>
        </is>
      </c>
      <c r="C5" s="11" t="inlineStr">
        <is>
          <t>Xác thực</t>
        </is>
      </c>
      <c r="D5" s="11" t="inlineStr">
        <is>
          <t>Đăng ký trùng email</t>
        </is>
      </c>
      <c r="E5" s="11" t="inlineStr">
        <is>
          <t>Đã có uv1@demo.local</t>
        </is>
      </c>
      <c r="F5" s="11" t="inlineStr">
        <is>
          <t>Email: uv1@demo.local</t>
        </is>
      </c>
      <c r="G5" s="11" t="inlineStr">
        <is>
          <t>1. Mở /register
2. Nhập email đã tồn tại và dữ liệu hợp lệ
3. Bấm Đăng ký</t>
        </is>
      </c>
      <c r="H5" s="11" t="inlineStr">
        <is>
          <t>Báo "Email này đã được đăng ký"; không tạo tài khoản mới</t>
        </is>
      </c>
      <c r="I5" s="11" t="inlineStr">
        <is>
          <t>P0</t>
        </is>
      </c>
      <c r="J5" s="11" t="inlineStr">
        <is>
          <t>Validate</t>
        </is>
      </c>
      <c r="K5" s="11" t="inlineStr"/>
      <c r="L5" s="11" t="inlineStr">
        <is>
          <t>Chưa chạy</t>
        </is>
      </c>
      <c r="M5" s="11" t="inlineStr"/>
      <c r="N5" s="11" t="inlineStr"/>
      <c r="O5" s="11" t="inlineStr"/>
      <c r="P5" s="11" t="inlineStr"/>
    </row>
    <row r="6">
      <c r="A6" s="11" t="inlineStr">
        <is>
          <t>TC-AUTH01-005</t>
        </is>
      </c>
      <c r="B6" s="11" t="inlineStr">
        <is>
          <t>AUTH-01</t>
        </is>
      </c>
      <c r="C6" s="11" t="inlineStr">
        <is>
          <t>Xác thực</t>
        </is>
      </c>
      <c r="D6" s="11" t="inlineStr">
        <is>
          <t>Đăng ký trùng email khác chữ hoa/thường</t>
        </is>
      </c>
      <c r="E6" s="11" t="inlineStr">
        <is>
          <t>Đã có uv1@demo.local</t>
        </is>
      </c>
      <c r="F6" s="11" t="inlineStr">
        <is>
          <t>Email: UV1@Demo.Local</t>
        </is>
      </c>
      <c r="G6" s="11" t="inlineStr">
        <is>
          <t>1. Mở /register
2. Nhập email viết hoa
3. Bấm Đăng ký</t>
        </is>
      </c>
      <c r="H6" s="11" t="inlineStr">
        <is>
          <t>Bị coi là trùng email, không tạo tài khoản</t>
        </is>
      </c>
      <c r="I6" s="11" t="inlineStr">
        <is>
          <t>P1</t>
        </is>
      </c>
      <c r="J6" s="11" t="inlineStr">
        <is>
          <t>Validate</t>
        </is>
      </c>
      <c r="K6" s="11" t="inlineStr"/>
      <c r="L6" s="11" t="inlineStr">
        <is>
          <t>Chưa chạy</t>
        </is>
      </c>
      <c r="M6" s="11" t="inlineStr"/>
      <c r="N6" s="11" t="inlineStr"/>
      <c r="O6" s="11" t="inlineStr"/>
      <c r="P6" s="11" t="inlineStr"/>
    </row>
    <row r="7">
      <c r="A7" s="11" t="inlineStr">
        <is>
          <t>TC-AUTH01-006</t>
        </is>
      </c>
      <c r="B7" s="11" t="inlineStr">
        <is>
          <t>AUTH-01</t>
        </is>
      </c>
      <c r="C7" s="11" t="inlineStr">
        <is>
          <t>Xác thực</t>
        </is>
      </c>
      <c r="D7" s="11" t="inlineStr">
        <is>
          <t>Email sai định dạng</t>
        </is>
      </c>
      <c r="E7" s="11" t="inlineStr">
        <is>
          <t>Chưa đăng nhập</t>
        </is>
      </c>
      <c r="F7" s="11" t="inlineStr">
        <is>
          <t>Email: qa.uv@ ; abc ; qa uv@test.local</t>
        </is>
      </c>
      <c r="G7" s="11" t="inlineStr">
        <is>
          <t>1. Nhập từng email sai định dạng
2. Rời khỏi ô / bấm Đăng ký</t>
        </is>
      </c>
      <c r="H7" s="11" t="inlineStr">
        <is>
          <t>Báo lỗi tại ô email; không gửi request đăng ký</t>
        </is>
      </c>
      <c r="I7" s="11" t="inlineStr">
        <is>
          <t>P0</t>
        </is>
      </c>
      <c r="J7" s="11" t="inlineStr">
        <is>
          <t>Validate</t>
        </is>
      </c>
      <c r="K7" s="11" t="inlineStr"/>
      <c r="L7" s="11" t="inlineStr">
        <is>
          <t>Chưa chạy</t>
        </is>
      </c>
      <c r="M7" s="11" t="inlineStr"/>
      <c r="N7" s="11" t="inlineStr"/>
      <c r="O7" s="11" t="inlineStr"/>
      <c r="P7" s="11" t="inlineStr"/>
    </row>
    <row r="8">
      <c r="A8" s="11" t="inlineStr">
        <is>
          <t>TC-AUTH01-007</t>
        </is>
      </c>
      <c r="B8" s="11" t="inlineStr">
        <is>
          <t>AUTH-01</t>
        </is>
      </c>
      <c r="C8" s="11" t="inlineStr">
        <is>
          <t>Xác thực</t>
        </is>
      </c>
      <c r="D8" s="11" t="inlineStr">
        <is>
          <t>Bỏ trống trường bắt buộc</t>
        </is>
      </c>
      <c r="E8" s="11" t="inlineStr">
        <is>
          <t>Chưa đăng nhập</t>
        </is>
      </c>
      <c r="F8" s="11" t="inlineStr">
        <is>
          <t>Để trống họ tên / email / mật khẩu</t>
        </is>
      </c>
      <c r="G8" s="11" t="inlineStr">
        <is>
          <t>1. Để trống từng trường bắt buộc
2. Bấm Đăng ký</t>
        </is>
      </c>
      <c r="H8" s="11" t="inlineStr">
        <is>
          <t>Báo lỗi tại từng ô còn trống</t>
        </is>
      </c>
      <c r="I8" s="11" t="inlineStr">
        <is>
          <t>P0</t>
        </is>
      </c>
      <c r="J8" s="11" t="inlineStr">
        <is>
          <t>Validate</t>
        </is>
      </c>
      <c r="K8" s="11" t="inlineStr"/>
      <c r="L8" s="11" t="inlineStr">
        <is>
          <t>Chưa chạy</t>
        </is>
      </c>
      <c r="M8" s="11" t="inlineStr"/>
      <c r="N8" s="11" t="inlineStr"/>
      <c r="O8" s="11" t="inlineStr"/>
      <c r="P8" s="11" t="inlineStr"/>
    </row>
    <row r="9">
      <c r="A9" s="11" t="inlineStr">
        <is>
          <t>TC-AUTH01-008</t>
        </is>
      </c>
      <c r="B9" s="11" t="inlineStr">
        <is>
          <t>AUTH-01</t>
        </is>
      </c>
      <c r="C9" s="11" t="inlineStr">
        <is>
          <t>Xác thực</t>
        </is>
      </c>
      <c r="D9" s="11" t="inlineStr">
        <is>
          <t>Mật khẩu 7 ký tự bị từ chối</t>
        </is>
      </c>
      <c r="E9" s="11" t="inlineStr">
        <is>
          <t>Chưa đăng nhập</t>
        </is>
      </c>
      <c r="F9" s="11" t="inlineStr">
        <is>
          <t>MK: Qa12345 (7 ký tự)</t>
        </is>
      </c>
      <c r="G9" s="11" t="inlineStr">
        <is>
          <t>1. Nhập dữ liệu hợp lệ, mật khẩu 7 ký tự
2. Bấm Đăng ký</t>
        </is>
      </c>
      <c r="H9" s="11" t="inlineStr">
        <is>
          <t>Báo lỗi mật khẩu 8–64 ký tự; không tạo tài khoản</t>
        </is>
      </c>
      <c r="I9" s="11" t="inlineStr">
        <is>
          <t>P0</t>
        </is>
      </c>
      <c r="J9" s="11" t="inlineStr">
        <is>
          <t>Biên</t>
        </is>
      </c>
      <c r="K9" s="11" t="inlineStr"/>
      <c r="L9" s="11" t="inlineStr">
        <is>
          <t>Chưa chạy</t>
        </is>
      </c>
      <c r="M9" s="11" t="inlineStr"/>
      <c r="N9" s="11" t="inlineStr"/>
      <c r="O9" s="11" t="inlineStr"/>
      <c r="P9" s="11" t="inlineStr"/>
    </row>
    <row r="10">
      <c r="A10" s="11" t="inlineStr">
        <is>
          <t>TC-AUTH01-009</t>
        </is>
      </c>
      <c r="B10" s="11" t="inlineStr">
        <is>
          <t>AUTH-01</t>
        </is>
      </c>
      <c r="C10" s="11" t="inlineStr">
        <is>
          <t>Xác thực</t>
        </is>
      </c>
      <c r="D10" s="11" t="inlineStr">
        <is>
          <t>Mật khẩu 8 ký tự được chấp nhận</t>
        </is>
      </c>
      <c r="E10" s="11" t="inlineStr">
        <is>
          <t>Chưa đăng nhập</t>
        </is>
      </c>
      <c r="F10" s="11" t="inlineStr">
        <is>
          <t>Email: qa.uv02@test.local; MK: Qa123456</t>
        </is>
      </c>
      <c r="G10" s="11" t="inlineStr">
        <is>
          <t>1. Nhập dữ liệu, mật khẩu 8 ký tự
2. Bấm Đăng ký</t>
        </is>
      </c>
      <c r="H10" s="11" t="inlineStr">
        <is>
          <t>Đăng ký thành công</t>
        </is>
      </c>
      <c r="I10" s="11" t="inlineStr">
        <is>
          <t>P0</t>
        </is>
      </c>
      <c r="J10" s="11" t="inlineStr">
        <is>
          <t>Biên</t>
        </is>
      </c>
      <c r="K10" s="11" t="inlineStr"/>
      <c r="L10" s="11" t="inlineStr">
        <is>
          <t>Chưa chạy</t>
        </is>
      </c>
      <c r="M10" s="11" t="inlineStr"/>
      <c r="N10" s="11" t="inlineStr"/>
      <c r="O10" s="11" t="inlineStr"/>
      <c r="P10" s="11" t="inlineStr"/>
    </row>
    <row r="11">
      <c r="A11" s="11" t="inlineStr">
        <is>
          <t>TC-AUTH01-010</t>
        </is>
      </c>
      <c r="B11" s="11" t="inlineStr">
        <is>
          <t>AUTH-01</t>
        </is>
      </c>
      <c r="C11" s="11" t="inlineStr">
        <is>
          <t>Xác thực</t>
        </is>
      </c>
      <c r="D11" s="11" t="inlineStr">
        <is>
          <t>Mật khẩu 64 ký tự được chấp nhận</t>
        </is>
      </c>
      <c r="E11" s="11" t="inlineStr">
        <is>
          <t>Chưa đăng nhập</t>
        </is>
      </c>
      <c r="F11" s="11" t="inlineStr">
        <is>
          <t>Email: qa.uv03@test.local; MK: "Qa1" + 61 ký tự "a"</t>
        </is>
      </c>
      <c r="G11" s="11" t="inlineStr">
        <is>
          <t>1. Nhập mật khẩu 64 ký tự
2. Bấm Đăng ký</t>
        </is>
      </c>
      <c r="H11" s="11" t="inlineStr">
        <is>
          <t>Đăng ký thành công; đăng nhập lại được bằng mật khẩu đó</t>
        </is>
      </c>
      <c r="I11" s="11" t="inlineStr">
        <is>
          <t>P1</t>
        </is>
      </c>
      <c r="J11" s="11" t="inlineStr">
        <is>
          <t>Biên</t>
        </is>
      </c>
      <c r="K11" s="11" t="inlineStr"/>
      <c r="L11" s="11" t="inlineStr">
        <is>
          <t>Chưa chạy</t>
        </is>
      </c>
      <c r="M11" s="11" t="inlineStr"/>
      <c r="N11" s="11" t="inlineStr"/>
      <c r="O11" s="11" t="inlineStr"/>
      <c r="P11" s="11" t="inlineStr"/>
    </row>
    <row r="12">
      <c r="A12" s="11" t="inlineStr">
        <is>
          <t>TC-AUTH01-011</t>
        </is>
      </c>
      <c r="B12" s="11" t="inlineStr">
        <is>
          <t>AUTH-01</t>
        </is>
      </c>
      <c r="C12" s="11" t="inlineStr">
        <is>
          <t>Xác thực</t>
        </is>
      </c>
      <c r="D12" s="11" t="inlineStr">
        <is>
          <t>Mật khẩu 65 ký tự bị từ chối</t>
        </is>
      </c>
      <c r="E12" s="11" t="inlineStr">
        <is>
          <t>Chưa đăng nhập</t>
        </is>
      </c>
      <c r="F12" s="11" t="inlineStr">
        <is>
          <t>MK: 65 ký tự có chữ và số</t>
        </is>
      </c>
      <c r="G12" s="11" t="inlineStr">
        <is>
          <t>1. Nhập mật khẩu 65 ký tự
2. Bấm Đăng ký</t>
        </is>
      </c>
      <c r="H12" s="11" t="inlineStr">
        <is>
          <t>Báo lỗi độ dài mật khẩu</t>
        </is>
      </c>
      <c r="I12" s="11" t="inlineStr">
        <is>
          <t>P1</t>
        </is>
      </c>
      <c r="J12" s="11" t="inlineStr">
        <is>
          <t>Biên</t>
        </is>
      </c>
      <c r="K12" s="11" t="inlineStr"/>
      <c r="L12" s="11" t="inlineStr">
        <is>
          <t>Chưa chạy</t>
        </is>
      </c>
      <c r="M12" s="11" t="inlineStr"/>
      <c r="N12" s="11" t="inlineStr"/>
      <c r="O12" s="11" t="inlineStr"/>
      <c r="P12" s="11" t="inlineStr"/>
    </row>
    <row r="13">
      <c r="A13" s="11" t="inlineStr">
        <is>
          <t>TC-AUTH01-012</t>
        </is>
      </c>
      <c r="B13" s="11" t="inlineStr">
        <is>
          <t>AUTH-01</t>
        </is>
      </c>
      <c r="C13" s="11" t="inlineStr">
        <is>
          <t>Xác thực</t>
        </is>
      </c>
      <c r="D13" s="11" t="inlineStr">
        <is>
          <t>Mật khẩu chỉ có chữ hoặc chỉ có số</t>
        </is>
      </c>
      <c r="E13" s="11" t="inlineStr">
        <is>
          <t>Chưa đăng nhập</t>
        </is>
      </c>
      <c r="F13" s="11" t="inlineStr">
        <is>
          <t>MK: abcdefgh ; 12345678</t>
        </is>
      </c>
      <c r="G13" s="11" t="inlineStr">
        <is>
          <t>1. Nhập lần lượt từng mật khẩu
2. Bấm Đăng ký</t>
        </is>
      </c>
      <c r="H13" s="11" t="inlineStr">
        <is>
          <t>Báo lỗi mật khẩu phải gồm cả chữ và số</t>
        </is>
      </c>
      <c r="I13" s="11" t="inlineStr">
        <is>
          <t>P0</t>
        </is>
      </c>
      <c r="J13" s="11" t="inlineStr">
        <is>
          <t>Validate</t>
        </is>
      </c>
      <c r="K13" s="11" t="inlineStr"/>
      <c r="L13" s="11" t="inlineStr">
        <is>
          <t>Chưa chạy</t>
        </is>
      </c>
      <c r="M13" s="11" t="inlineStr"/>
      <c r="N13" s="11" t="inlineStr"/>
      <c r="O13" s="11" t="inlineStr"/>
      <c r="P13" s="11" t="inlineStr"/>
    </row>
    <row r="14">
      <c r="A14" s="11" t="inlineStr">
        <is>
          <t>TC-AUTH01-013</t>
        </is>
      </c>
      <c r="B14" s="11" t="inlineStr">
        <is>
          <t>AUTH-01</t>
        </is>
      </c>
      <c r="C14" s="11" t="inlineStr">
        <is>
          <t>Xác thực</t>
        </is>
      </c>
      <c r="D14" s="11" t="inlineStr">
        <is>
          <t>Giới hạn 5 lần đăng ký / phút / IP</t>
        </is>
      </c>
      <c r="E14" s="11" t="inlineStr">
        <is>
          <t>Chưa đăng nhập</t>
        </is>
      </c>
      <c r="F14" s="11" t="inlineStr">
        <is>
          <t>6 email khác nhau</t>
        </is>
      </c>
      <c r="G14" s="11" t="inlineStr">
        <is>
          <t>1. Gửi 6 yêu cầu đăng ký trong vòng 1 phút</t>
        </is>
      </c>
      <c r="H14" s="11" t="inlineStr">
        <is>
          <t>Yêu cầu thứ 6 bị từ chối (429, thông báo thao tác quá nhanh)</t>
        </is>
      </c>
      <c r="I14" s="11" t="inlineStr">
        <is>
          <t>P1</t>
        </is>
      </c>
      <c r="J14" s="11" t="inlineStr">
        <is>
          <t>Bảo mật</t>
        </is>
      </c>
      <c r="K14" s="11" t="inlineStr"/>
      <c r="L14" s="11" t="inlineStr">
        <is>
          <t>Chưa chạy</t>
        </is>
      </c>
      <c r="M14" s="11" t="inlineStr"/>
      <c r="N14" s="11" t="inlineStr"/>
      <c r="O14" s="11" t="inlineStr"/>
      <c r="P14" s="11" t="inlineStr"/>
    </row>
    <row r="15">
      <c r="A15" s="11" t="inlineStr">
        <is>
          <t>TC-AUTH02-001</t>
        </is>
      </c>
      <c r="B15" s="11" t="inlineStr">
        <is>
          <t>AUTH-02</t>
        </is>
      </c>
      <c r="C15" s="11" t="inlineStr">
        <is>
          <t>Xác thực</t>
        </is>
      </c>
      <c r="D15" s="11" t="inlineStr">
        <is>
          <t>Đăng nhập ứng viên đúng thông tin</t>
        </is>
      </c>
      <c r="E15" s="11" t="inlineStr">
        <is>
          <t>Có uv1@demo.local</t>
        </is>
      </c>
      <c r="F15" s="11" t="inlineStr">
        <is>
          <t>uv1@demo.local / Demo@123</t>
        </is>
      </c>
      <c r="G15" s="11" t="inlineStr">
        <is>
          <t>1. Mở /login
2. Nhập email, mật khẩu
3. Bấm Đăng nhập</t>
        </is>
      </c>
      <c r="H15" s="11" t="inlineStr">
        <is>
          <t>Đăng nhập thành công, chuyển tới khu vực ứng viên; header hiện tên người dùng</t>
        </is>
      </c>
      <c r="I15" s="11" t="inlineStr">
        <is>
          <t>P0</t>
        </is>
      </c>
      <c r="J15" s="11" t="inlineStr">
        <is>
          <t>Chức năng</t>
        </is>
      </c>
      <c r="K15" s="11" t="inlineStr"/>
      <c r="L15" s="11" t="inlineStr">
        <is>
          <t>Chưa chạy</t>
        </is>
      </c>
      <c r="M15" s="11" t="inlineStr"/>
      <c r="N15" s="11" t="inlineStr"/>
      <c r="O15" s="11" t="inlineStr"/>
      <c r="P15" s="11" t="inlineStr"/>
    </row>
    <row r="16">
      <c r="A16" s="11" t="inlineStr">
        <is>
          <t>TC-AUTH02-002</t>
        </is>
      </c>
      <c r="B16" s="11" t="inlineStr">
        <is>
          <t>AUTH-02</t>
        </is>
      </c>
      <c r="C16" s="11" t="inlineStr">
        <is>
          <t>Xác thực</t>
        </is>
      </c>
      <c r="D16" s="11" t="inlineStr">
        <is>
          <t>Đăng nhập NTD và Admin vào đúng khu vực</t>
        </is>
      </c>
      <c r="E16" s="11" t="inlineStr">
        <is>
          <t>Có ntd1, admin</t>
        </is>
      </c>
      <c r="F16" s="11" t="inlineStr">
        <is>
          <t>ntd1@demo.local / Demo@123; admin@jobportal.local / Admin@123</t>
        </is>
      </c>
      <c r="G16" s="11" t="inlineStr">
        <is>
          <t>1. Đăng nhập ntd1
2. Đăng xuất
3. Đăng nhập admin</t>
        </is>
      </c>
      <c r="H16" s="11" t="inlineStr">
        <is>
          <t>ntd1 vào /employer; admin vào /admin</t>
        </is>
      </c>
      <c r="I16" s="11" t="inlineStr">
        <is>
          <t>P0</t>
        </is>
      </c>
      <c r="J16" s="11" t="inlineStr">
        <is>
          <t>Chức năng</t>
        </is>
      </c>
      <c r="K16" s="11" t="inlineStr"/>
      <c r="L16" s="11" t="inlineStr">
        <is>
          <t>Chưa chạy</t>
        </is>
      </c>
      <c r="M16" s="11" t="inlineStr"/>
      <c r="N16" s="11" t="inlineStr"/>
      <c r="O16" s="11" t="inlineStr"/>
      <c r="P16" s="11" t="inlineStr"/>
    </row>
    <row r="17">
      <c r="A17" s="11" t="inlineStr">
        <is>
          <t>TC-AUTH02-003</t>
        </is>
      </c>
      <c r="B17" s="11" t="inlineStr">
        <is>
          <t>AUTH-02</t>
        </is>
      </c>
      <c r="C17" s="11" t="inlineStr">
        <is>
          <t>Xác thực</t>
        </is>
      </c>
      <c r="D17" s="11" t="inlineStr">
        <is>
          <t>Sai mật khẩu</t>
        </is>
      </c>
      <c r="E17" s="11" t="inlineStr">
        <is>
          <t>Có uv1</t>
        </is>
      </c>
      <c r="F17" s="11" t="inlineStr">
        <is>
          <t>uv1@demo.local / SaiMatKhau1</t>
        </is>
      </c>
      <c r="G17" s="11" t="inlineStr">
        <is>
          <t>1. Nhập sai mật khẩu
2. Bấm Đăng nhập</t>
        </is>
      </c>
      <c r="H17" s="11" t="inlineStr">
        <is>
          <t>Báo "Email hoặc mật khẩu không đúng"</t>
        </is>
      </c>
      <c r="I17" s="11" t="inlineStr">
        <is>
          <t>P0</t>
        </is>
      </c>
      <c r="J17" s="11" t="inlineStr">
        <is>
          <t>Validate</t>
        </is>
      </c>
      <c r="K17" s="11" t="inlineStr"/>
      <c r="L17" s="11" t="inlineStr">
        <is>
          <t>Chưa chạy</t>
        </is>
      </c>
      <c r="M17" s="11" t="inlineStr"/>
      <c r="N17" s="11" t="inlineStr"/>
      <c r="O17" s="11" t="inlineStr"/>
      <c r="P17" s="11" t="inlineStr"/>
    </row>
    <row r="18">
      <c r="A18" s="11" t="inlineStr">
        <is>
          <t>TC-AUTH02-004</t>
        </is>
      </c>
      <c r="B18" s="11" t="inlineStr">
        <is>
          <t>AUTH-02</t>
        </is>
      </c>
      <c r="C18" s="11" t="inlineStr">
        <is>
          <t>Xác thực</t>
        </is>
      </c>
      <c r="D18" s="11" t="inlineStr">
        <is>
          <t>Email không tồn tại báo lỗi giống sai mật khẩu</t>
        </is>
      </c>
      <c r="E18" s="11" t="inlineStr">
        <is>
          <t>–</t>
        </is>
      </c>
      <c r="F18" s="11" t="inlineStr">
        <is>
          <t>khongco@test.local / Qa123456</t>
        </is>
      </c>
      <c r="G18" s="11" t="inlineStr">
        <is>
          <t>1. Nhập email chưa đăng ký
2. Bấm Đăng nhập</t>
        </is>
      </c>
      <c r="H18" s="11" t="inlineStr">
        <is>
          <t>Báo đúng thông điệp "Email hoặc mật khẩu không đúng" (không tiết lộ email có tồn tại hay không)</t>
        </is>
      </c>
      <c r="I18" s="11" t="inlineStr">
        <is>
          <t>P0</t>
        </is>
      </c>
      <c r="J18" s="11" t="inlineStr">
        <is>
          <t>Bảo mật</t>
        </is>
      </c>
      <c r="K18" s="11" t="inlineStr"/>
      <c r="L18" s="11" t="inlineStr">
        <is>
          <t>Chưa chạy</t>
        </is>
      </c>
      <c r="M18" s="11" t="inlineStr"/>
      <c r="N18" s="11" t="inlineStr"/>
      <c r="O18" s="11" t="inlineStr"/>
      <c r="P18" s="11" t="inlineStr"/>
    </row>
    <row r="19">
      <c r="A19" s="11" t="inlineStr">
        <is>
          <t>TC-AUTH02-005</t>
        </is>
      </c>
      <c r="B19" s="11" t="inlineStr">
        <is>
          <t>AUTH-02</t>
        </is>
      </c>
      <c r="C19" s="11" t="inlineStr">
        <is>
          <t>Xác thực</t>
        </is>
      </c>
      <c r="D19" s="11" t="inlineStr">
        <is>
          <t>Giữ phiên sau khi tải lại trang</t>
        </is>
      </c>
      <c r="E19" s="11" t="inlineStr">
        <is>
          <t>uv1 đã đăng nhập</t>
        </is>
      </c>
      <c r="F19" s="11" t="inlineStr">
        <is>
          <t>–</t>
        </is>
      </c>
      <c r="G19" s="11" t="inlineStr">
        <is>
          <t>1. Nhấn F5
2. Đóng tab, mở lại trang web</t>
        </is>
      </c>
      <c r="H19" s="11" t="inlineStr">
        <is>
          <t>Vẫn ở trạng thái đăng nhập</t>
        </is>
      </c>
      <c r="I19" s="11" t="inlineStr">
        <is>
          <t>P0</t>
        </is>
      </c>
      <c r="J19" s="11" t="inlineStr">
        <is>
          <t>Chức năng</t>
        </is>
      </c>
      <c r="K19" s="11" t="inlineStr"/>
      <c r="L19" s="11" t="inlineStr">
        <is>
          <t>Chưa chạy</t>
        </is>
      </c>
      <c r="M19" s="11" t="inlineStr"/>
      <c r="N19" s="11" t="inlineStr"/>
      <c r="O19" s="11" t="inlineStr"/>
      <c r="P19" s="11" t="inlineStr"/>
    </row>
    <row r="20">
      <c r="A20" s="11" t="inlineStr">
        <is>
          <t>TC-AUTH02-006</t>
        </is>
      </c>
      <c r="B20" s="11" t="inlineStr">
        <is>
          <t>AUTH-02</t>
        </is>
      </c>
      <c r="C20" s="11" t="inlineStr">
        <is>
          <t>Xác thực</t>
        </is>
      </c>
      <c r="D20" s="11" t="inlineStr">
        <is>
          <t>Tự làm mới phiên khi access token hết hạn</t>
        </is>
      </c>
      <c r="E20" s="11" t="inlineStr">
        <is>
          <t>uv1 đã đăng nhập</t>
        </is>
      </c>
      <c r="F20" s="11" t="inlineStr">
        <is>
          <t>–</t>
        </is>
      </c>
      <c r="G20" s="11" t="inlineStr">
        <is>
          <t>1. Để yên trang &gt; 15 phút
2. Thao tác (mở trang Hồ sơ)</t>
        </is>
      </c>
      <c r="H20" s="11" t="inlineStr">
        <is>
          <t>Thao tác thành công, không bị đá về trang đăng nhập</t>
        </is>
      </c>
      <c r="I20" s="11" t="inlineStr">
        <is>
          <t>P0</t>
        </is>
      </c>
      <c r="J20" s="11" t="inlineStr">
        <is>
          <t>Chức năng</t>
        </is>
      </c>
      <c r="K20" s="11" t="inlineStr"/>
      <c r="L20" s="11" t="inlineStr">
        <is>
          <t>Chưa chạy</t>
        </is>
      </c>
      <c r="M20" s="11" t="inlineStr"/>
      <c r="N20" s="11" t="inlineStr"/>
      <c r="O20" s="11" t="inlineStr"/>
      <c r="P20" s="11" t="inlineStr"/>
    </row>
    <row r="21">
      <c r="A21" s="11" t="inlineStr">
        <is>
          <t>TC-AUTH02-007</t>
        </is>
      </c>
      <c r="B21" s="11" t="inlineStr">
        <is>
          <t>AUTH-02</t>
        </is>
      </c>
      <c r="C21" s="11" t="inlineStr">
        <is>
          <t>Xác thực</t>
        </is>
      </c>
      <c r="D21" s="11" t="inlineStr">
        <is>
          <t>Refresh token nằm trong cookie httpOnly</t>
        </is>
      </c>
      <c r="E21" s="11" t="inlineStr">
        <is>
          <t>uv1 đã đăng nhập</t>
        </is>
      </c>
      <c r="F21" s="11" t="inlineStr">
        <is>
          <t>–</t>
        </is>
      </c>
      <c r="G21" s="11" t="inlineStr">
        <is>
          <t>1. Mở DevTools → Application → Cookies
2. Gõ document.cookie trong Console</t>
        </is>
      </c>
      <c r="H21" s="11" t="inlineStr">
        <is>
          <t>Có cookie jp_rt với cờ HttpOnly; document.cookie không đọc được jp_rt</t>
        </is>
      </c>
      <c r="I21" s="11" t="inlineStr">
        <is>
          <t>P0</t>
        </is>
      </c>
      <c r="J21" s="11" t="inlineStr">
        <is>
          <t>Bảo mật</t>
        </is>
      </c>
      <c r="K21" s="11" t="inlineStr"/>
      <c r="L21" s="11" t="inlineStr">
        <is>
          <t>Chưa chạy</t>
        </is>
      </c>
      <c r="M21" s="11" t="inlineStr"/>
      <c r="N21" s="11" t="inlineStr"/>
      <c r="O21" s="11" t="inlineStr"/>
      <c r="P21" s="11" t="inlineStr"/>
    </row>
    <row r="22">
      <c r="A22" s="11" t="inlineStr">
        <is>
          <t>TC-AUTH02-008</t>
        </is>
      </c>
      <c r="B22" s="11" t="inlineStr">
        <is>
          <t>AUTH-02</t>
        </is>
      </c>
      <c r="C22" s="11" t="inlineStr">
        <is>
          <t>Xác thực</t>
        </is>
      </c>
      <c r="D22" s="11" t="inlineStr">
        <is>
          <t>Đăng xuất</t>
        </is>
      </c>
      <c r="E22" s="11" t="inlineStr">
        <is>
          <t>uv1 đã đăng nhập</t>
        </is>
      </c>
      <c r="F22" s="11" t="inlineStr">
        <is>
          <t>–</t>
        </is>
      </c>
      <c r="G22" s="11" t="inlineStr">
        <is>
          <t>1. Bấm Đăng xuất
2. Bấm nút Back của trình duyệt
3. Mở /candidate/profile</t>
        </is>
      </c>
      <c r="H22" s="11" t="inlineStr">
        <is>
          <t>Về trạng thái khách; vào trang ứng viên bị chuyển tới /login</t>
        </is>
      </c>
      <c r="I22" s="11" t="inlineStr">
        <is>
          <t>P0</t>
        </is>
      </c>
      <c r="J22" s="11" t="inlineStr">
        <is>
          <t>Chức năng</t>
        </is>
      </c>
      <c r="K22" s="11" t="inlineStr"/>
      <c r="L22" s="11" t="inlineStr">
        <is>
          <t>Chưa chạy</t>
        </is>
      </c>
      <c r="M22" s="11" t="inlineStr"/>
      <c r="N22" s="11" t="inlineStr"/>
      <c r="O22" s="11" t="inlineStr"/>
      <c r="P22" s="11" t="inlineStr"/>
    </row>
    <row r="23">
      <c r="A23" s="11" t="inlineStr">
        <is>
          <t>TC-AUTH02-009</t>
        </is>
      </c>
      <c r="B23" s="11" t="inlineStr">
        <is>
          <t>AUTH-02</t>
        </is>
      </c>
      <c r="C23" s="11" t="inlineStr">
        <is>
          <t>Xác thực</t>
        </is>
      </c>
      <c r="D23" s="11" t="inlineStr">
        <is>
          <t>Đăng nhập xong quay lại trang đang xem</t>
        </is>
      </c>
      <c r="E23" s="11" t="inlineStr">
        <is>
          <t>Chưa đăng nhập</t>
        </is>
      </c>
      <c r="F23" s="11" t="inlineStr">
        <is>
          <t>–</t>
        </is>
      </c>
      <c r="G23" s="11" t="inlineStr">
        <is>
          <t>1. Mở /candidate/applications
2. Bị chuyển tới /login, đăng nhập uv1</t>
        </is>
      </c>
      <c r="H23" s="11" t="inlineStr">
        <is>
          <t>Sau đăng nhập quay lại /candidate/applications</t>
        </is>
      </c>
      <c r="I23" s="11" t="inlineStr">
        <is>
          <t>P1</t>
        </is>
      </c>
      <c r="J23" s="11" t="inlineStr">
        <is>
          <t>Chức năng</t>
        </is>
      </c>
      <c r="K23" s="11" t="inlineStr"/>
      <c r="L23" s="11" t="inlineStr">
        <is>
          <t>Chưa chạy</t>
        </is>
      </c>
      <c r="M23" s="11" t="inlineStr"/>
      <c r="N23" s="11" t="inlineStr"/>
      <c r="O23" s="11" t="inlineStr"/>
      <c r="P23" s="11" t="inlineStr"/>
    </row>
    <row r="24">
      <c r="A24" s="11" t="inlineStr">
        <is>
          <t>TC-AUTH02-010</t>
        </is>
      </c>
      <c r="B24" s="11" t="inlineStr">
        <is>
          <t>AUTH-02</t>
        </is>
      </c>
      <c r="C24" s="11" t="inlineStr">
        <is>
          <t>Xác thực</t>
        </is>
      </c>
      <c r="D24" s="11" t="inlineStr">
        <is>
          <t>Giới hạn 10 lần đăng nhập / phút</t>
        </is>
      </c>
      <c r="E24" s="11" t="inlineStr">
        <is>
          <t>–</t>
        </is>
      </c>
      <c r="F24" s="11" t="inlineStr">
        <is>
          <t>Sai mật khẩu 11 lần</t>
        </is>
      </c>
      <c r="G24" s="11" t="inlineStr">
        <is>
          <t>1. Đăng nhập sai liên tục 11 lần trong 1 phút</t>
        </is>
      </c>
      <c r="H24" s="11" t="inlineStr">
        <is>
          <t>Lần thứ 11 bị từ chối 429</t>
        </is>
      </c>
      <c r="I24" s="11" t="inlineStr">
        <is>
          <t>P1</t>
        </is>
      </c>
      <c r="J24" s="11" t="inlineStr">
        <is>
          <t>Bảo mật</t>
        </is>
      </c>
      <c r="K24" s="11" t="inlineStr"/>
      <c r="L24" s="11" t="inlineStr">
        <is>
          <t>Chưa chạy</t>
        </is>
      </c>
      <c r="M24" s="11" t="inlineStr"/>
      <c r="N24" s="11" t="inlineStr"/>
      <c r="O24" s="11" t="inlineStr"/>
      <c r="P24" s="11" t="inlineStr"/>
    </row>
    <row r="25">
      <c r="A25" s="11" t="inlineStr">
        <is>
          <t>TC-AUTH02-011</t>
        </is>
      </c>
      <c r="B25" s="11" t="inlineStr">
        <is>
          <t>AUTH-02</t>
        </is>
      </c>
      <c r="C25" s="11" t="inlineStr">
        <is>
          <t>Xác thực</t>
        </is>
      </c>
      <c r="D25" s="11" t="inlineStr">
        <is>
          <t>Chặn truy cập khu vực của vai trò khác</t>
        </is>
      </c>
      <c r="E25" s="11" t="inlineStr">
        <is>
          <t>uv1 đã đăng nhập</t>
        </is>
      </c>
      <c r="F25" s="11" t="inlineStr">
        <is>
          <t>–</t>
        </is>
      </c>
      <c r="G25" s="11" t="inlineStr">
        <is>
          <t>1. Mở /employer
2. Mở /admin</t>
        </is>
      </c>
      <c r="H25" s="11" t="inlineStr">
        <is>
          <t>Chuyển tới trang 403 hoặc trang phù hợp; không thấy dữ liệu NTD/admin</t>
        </is>
      </c>
      <c r="I25" s="11" t="inlineStr">
        <is>
          <t>P0</t>
        </is>
      </c>
      <c r="J25" s="11" t="inlineStr">
        <is>
          <t>Phân quyền</t>
        </is>
      </c>
      <c r="K25" s="11" t="inlineStr"/>
      <c r="L25" s="11" t="inlineStr">
        <is>
          <t>Chưa chạy</t>
        </is>
      </c>
      <c r="M25" s="11" t="inlineStr"/>
      <c r="N25" s="11" t="inlineStr"/>
      <c r="O25" s="11" t="inlineStr"/>
      <c r="P25" s="11" t="inlineStr"/>
    </row>
    <row r="26">
      <c r="A26" s="11" t="inlineStr">
        <is>
          <t>TC-AUTH03-001</t>
        </is>
      </c>
      <c r="B26" s="11" t="inlineStr">
        <is>
          <t>AUTH-03</t>
        </is>
      </c>
      <c r="C26" s="11" t="inlineStr">
        <is>
          <t>Xác thực</t>
        </is>
      </c>
      <c r="D26" s="11" t="inlineStr">
        <is>
          <t>Xác minh email bằng link</t>
        </is>
      </c>
      <c r="E26" s="11" t="inlineStr">
        <is>
          <t>Vừa đăng ký qa.uv01, chưa xác minh</t>
        </is>
      </c>
      <c r="F26" s="11" t="inlineStr">
        <is>
          <t>Link trong email (terminal API)</t>
        </is>
      </c>
      <c r="G26" s="11" t="inlineStr">
        <is>
          <t>1. Mở link xác minh</t>
        </is>
      </c>
      <c r="H26" s="11" t="inlineStr">
        <is>
          <t>Báo xác minh thành công; banner "chưa xác minh" biến mất</t>
        </is>
      </c>
      <c r="I26" s="11" t="inlineStr">
        <is>
          <t>P0</t>
        </is>
      </c>
      <c r="J26" s="11" t="inlineStr">
        <is>
          <t>Chức năng</t>
        </is>
      </c>
      <c r="K26" s="11" t="inlineStr"/>
      <c r="L26" s="11" t="inlineStr">
        <is>
          <t>Chưa chạy</t>
        </is>
      </c>
      <c r="M26" s="11" t="inlineStr"/>
      <c r="N26" s="11" t="inlineStr"/>
      <c r="O26" s="11" t="inlineStr"/>
      <c r="P26" s="11" t="inlineStr"/>
    </row>
    <row r="27">
      <c r="A27" s="11" t="inlineStr">
        <is>
          <t>TC-AUTH03-002</t>
        </is>
      </c>
      <c r="B27" s="11" t="inlineStr">
        <is>
          <t>AUTH-03</t>
        </is>
      </c>
      <c r="C27" s="11" t="inlineStr">
        <is>
          <t>Xác thực</t>
        </is>
      </c>
      <c r="D27" s="11" t="inlineStr">
        <is>
          <t>Link xác minh đã dùng / sai token</t>
        </is>
      </c>
      <c r="E27" s="11" t="inlineStr">
        <is>
          <t>Đã xác minh ở TC trước</t>
        </is>
      </c>
      <c r="F27" s="11" t="inlineStr">
        <is>
          <t>Link cũ; link sửa 1 ký tự token</t>
        </is>
      </c>
      <c r="G27" s="11" t="inlineStr">
        <is>
          <t>1. Mở lại link cũ
2. Mở link sửa token</t>
        </is>
      </c>
      <c r="H27" s="11" t="inlineStr">
        <is>
          <t>Báo "Link xác minh không hợp lệ hoặc đã hết hạn"</t>
        </is>
      </c>
      <c r="I27" s="11" t="inlineStr">
        <is>
          <t>P0</t>
        </is>
      </c>
      <c r="J27" s="11" t="inlineStr">
        <is>
          <t>Validate</t>
        </is>
      </c>
      <c r="K27" s="11" t="inlineStr"/>
      <c r="L27" s="11" t="inlineStr">
        <is>
          <t>Chưa chạy</t>
        </is>
      </c>
      <c r="M27" s="11" t="inlineStr"/>
      <c r="N27" s="11" t="inlineStr"/>
      <c r="O27" s="11" t="inlineStr"/>
      <c r="P27" s="11" t="inlineStr"/>
    </row>
    <row r="28">
      <c r="A28" s="11" t="inlineStr">
        <is>
          <t>TC-AUTH03-003</t>
        </is>
      </c>
      <c r="B28" s="11" t="inlineStr">
        <is>
          <t>AUTH-03</t>
        </is>
      </c>
      <c r="C28" s="11" t="inlineStr">
        <is>
          <t>Xác thực</t>
        </is>
      </c>
      <c r="D28" s="11" t="inlineStr">
        <is>
          <t>Link xác minh quá 24 giờ</t>
        </is>
      </c>
      <c r="E28" s="11" t="inlineStr">
        <is>
          <t>Có link xác minh &gt; 24h (sửa thời hạn token trong DB để giả lập)</t>
        </is>
      </c>
      <c r="F28" s="11" t="inlineStr">
        <is>
          <t>–</t>
        </is>
      </c>
      <c r="G28" s="11" t="inlineStr">
        <is>
          <t>1. Mở link</t>
        </is>
      </c>
      <c r="H28" s="11" t="inlineStr">
        <is>
          <t>Báo link không hợp lệ hoặc đã hết hạn; gợi ý gửi lại</t>
        </is>
      </c>
      <c r="I28" s="11" t="inlineStr">
        <is>
          <t>P1</t>
        </is>
      </c>
      <c r="J28" s="11" t="inlineStr">
        <is>
          <t>Biên</t>
        </is>
      </c>
      <c r="K28" s="11" t="inlineStr"/>
      <c r="L28" s="11" t="inlineStr">
        <is>
          <t>Chưa chạy</t>
        </is>
      </c>
      <c r="M28" s="11" t="inlineStr"/>
      <c r="N28" s="11" t="inlineStr"/>
      <c r="O28" s="11" t="inlineStr"/>
      <c r="P28" s="11" t="inlineStr"/>
    </row>
    <row r="29">
      <c r="A29" s="11" t="inlineStr">
        <is>
          <t>TC-AUTH03-004</t>
        </is>
      </c>
      <c r="B29" s="11" t="inlineStr">
        <is>
          <t>AUTH-03</t>
        </is>
      </c>
      <c r="C29" s="11" t="inlineStr">
        <is>
          <t>Xác thực</t>
        </is>
      </c>
      <c r="D29" s="11" t="inlineStr">
        <is>
          <t>Gửi lại email xác minh</t>
        </is>
      </c>
      <c r="E29" s="11" t="inlineStr">
        <is>
          <t>Tài khoản chưa xác minh đang đăng nhập</t>
        </is>
      </c>
      <c r="F29" s="11" t="inlineStr">
        <is>
          <t>–</t>
        </is>
      </c>
      <c r="G29" s="11" t="inlineStr">
        <is>
          <t>1. Bấm Gửi lại link xác minh</t>
        </is>
      </c>
      <c r="H29" s="11" t="inlineStr">
        <is>
          <t>Báo đã gửi; email mới xuất hiện; link cũ vẫn/không còn dùng được theo thiết kế</t>
        </is>
      </c>
      <c r="I29" s="11" t="inlineStr">
        <is>
          <t>P1</t>
        </is>
      </c>
      <c r="J29" s="11" t="inlineStr">
        <is>
          <t>Chức năng</t>
        </is>
      </c>
      <c r="K29" s="11" t="inlineStr"/>
      <c r="L29" s="11" t="inlineStr">
        <is>
          <t>Chưa chạy</t>
        </is>
      </c>
      <c r="M29" s="11" t="inlineStr"/>
      <c r="N29" s="11" t="inlineStr"/>
      <c r="O29" s="11" t="inlineStr"/>
      <c r="P29" s="11" t="inlineStr"/>
    </row>
    <row r="30">
      <c r="A30" s="11" t="inlineStr">
        <is>
          <t>TC-AUTH03-005</t>
        </is>
      </c>
      <c r="B30" s="11" t="inlineStr">
        <is>
          <t>AUTH-03</t>
        </is>
      </c>
      <c r="C30" s="11" t="inlineStr">
        <is>
          <t>Xác thực</t>
        </is>
      </c>
      <c r="D30" s="11" t="inlineStr">
        <is>
          <t>Giới hạn gửi lại xác minh 3 lần / 5 phút</t>
        </is>
      </c>
      <c r="E30" s="11" t="inlineStr">
        <is>
          <t>Tài khoản chưa xác minh</t>
        </is>
      </c>
      <c r="F30" s="11" t="inlineStr">
        <is>
          <t>–</t>
        </is>
      </c>
      <c r="G30" s="11" t="inlineStr">
        <is>
          <t>1. Bấm gửi lại 4 lần trong 5 phút</t>
        </is>
      </c>
      <c r="H30" s="11" t="inlineStr">
        <is>
          <t>Lần thứ 4 bị từ chối 429</t>
        </is>
      </c>
      <c r="I30" s="11" t="inlineStr">
        <is>
          <t>P2</t>
        </is>
      </c>
      <c r="J30" s="11" t="inlineStr">
        <is>
          <t>Bảo mật</t>
        </is>
      </c>
      <c r="K30" s="11" t="inlineStr"/>
      <c r="L30" s="11" t="inlineStr">
        <is>
          <t>Chưa chạy</t>
        </is>
      </c>
      <c r="M30" s="11" t="inlineStr"/>
      <c r="N30" s="11" t="inlineStr"/>
      <c r="O30" s="11" t="inlineStr"/>
      <c r="P30" s="11" t="inlineStr"/>
    </row>
    <row r="31">
      <c r="A31" s="11" t="inlineStr">
        <is>
          <t>TC-AUTH04-001</t>
        </is>
      </c>
      <c r="B31" s="11" t="inlineStr">
        <is>
          <t>AUTH-04</t>
        </is>
      </c>
      <c r="C31" s="11" t="inlineStr">
        <is>
          <t>Xác thực</t>
        </is>
      </c>
      <c r="D31" s="11" t="inlineStr">
        <is>
          <t>Quên mật khẩu với email tồn tại</t>
        </is>
      </c>
      <c r="E31" s="11" t="inlineStr">
        <is>
          <t>Có uv2@demo.local</t>
        </is>
      </c>
      <c r="F31" s="11" t="inlineStr">
        <is>
          <t>uv2@demo.local</t>
        </is>
      </c>
      <c r="G31" s="11" t="inlineStr">
        <is>
          <t>1. Mở /forgot-password
2. Nhập email
3. Bấm Gửi</t>
        </is>
      </c>
      <c r="H31" s="11" t="inlineStr">
        <is>
          <t>Báo thông điệp chung "nếu email tồn tại…"; email đặt lại được gửi</t>
        </is>
      </c>
      <c r="I31" s="11" t="inlineStr">
        <is>
          <t>P0</t>
        </is>
      </c>
      <c r="J31" s="11" t="inlineStr">
        <is>
          <t>Chức năng</t>
        </is>
      </c>
      <c r="K31" s="11" t="inlineStr"/>
      <c r="L31" s="11" t="inlineStr">
        <is>
          <t>Chưa chạy</t>
        </is>
      </c>
      <c r="M31" s="11" t="inlineStr"/>
      <c r="N31" s="11" t="inlineStr"/>
      <c r="O31" s="11" t="inlineStr"/>
      <c r="P31" s="11" t="inlineStr"/>
    </row>
    <row r="32">
      <c r="A32" s="11" t="inlineStr">
        <is>
          <t>TC-AUTH04-002</t>
        </is>
      </c>
      <c r="B32" s="11" t="inlineStr">
        <is>
          <t>AUTH-04</t>
        </is>
      </c>
      <c r="C32" s="11" t="inlineStr">
        <is>
          <t>Xác thực</t>
        </is>
      </c>
      <c r="D32" s="11" t="inlineStr">
        <is>
          <t>Quên mật khẩu với email không tồn tại</t>
        </is>
      </c>
      <c r="E32" s="11" t="inlineStr">
        <is>
          <t>–</t>
        </is>
      </c>
      <c r="F32" s="11" t="inlineStr">
        <is>
          <t>khongco@test.local</t>
        </is>
      </c>
      <c r="G32" s="11" t="inlineStr">
        <is>
          <t>1. Mở /forgot-password
2. Nhập email
3. Bấm Gửi</t>
        </is>
      </c>
      <c r="H32" s="11" t="inlineStr">
        <is>
          <t>Thông báo giống hệt trường hợp email tồn tại; không gửi email</t>
        </is>
      </c>
      <c r="I32" s="11" t="inlineStr">
        <is>
          <t>P0</t>
        </is>
      </c>
      <c r="J32" s="11" t="inlineStr">
        <is>
          <t>Bảo mật</t>
        </is>
      </c>
      <c r="K32" s="11" t="inlineStr"/>
      <c r="L32" s="11" t="inlineStr">
        <is>
          <t>Chưa chạy</t>
        </is>
      </c>
      <c r="M32" s="11" t="inlineStr"/>
      <c r="N32" s="11" t="inlineStr"/>
      <c r="O32" s="11" t="inlineStr"/>
      <c r="P32" s="11" t="inlineStr"/>
    </row>
    <row r="33">
      <c r="A33" s="11" t="inlineStr">
        <is>
          <t>TC-AUTH04-003</t>
        </is>
      </c>
      <c r="B33" s="11" t="inlineStr">
        <is>
          <t>AUTH-04</t>
        </is>
      </c>
      <c r="C33" s="11" t="inlineStr">
        <is>
          <t>Xác thực</t>
        </is>
      </c>
      <c r="D33" s="11" t="inlineStr">
        <is>
          <t>Đặt lại mật khẩu bằng link</t>
        </is>
      </c>
      <c r="E33" s="11" t="inlineStr">
        <is>
          <t>Có link đặt lại cho uv2</t>
        </is>
      </c>
      <c r="F33" s="11" t="inlineStr">
        <is>
          <t>MK mới: Qa654321</t>
        </is>
      </c>
      <c r="G33" s="11" t="inlineStr">
        <is>
          <t>1. Mở link
2. Nhập mật khẩu mới 2 lần
3. Bấm Lưu
4. Đăng nhập bằng MK mới</t>
        </is>
      </c>
      <c r="H33" s="11" t="inlineStr">
        <is>
          <t>Đặt lại thành công; đăng nhập được bằng MK mới, MK cũ không dùng được</t>
        </is>
      </c>
      <c r="I33" s="11" t="inlineStr">
        <is>
          <t>P0</t>
        </is>
      </c>
      <c r="J33" s="11" t="inlineStr">
        <is>
          <t>Chức năng</t>
        </is>
      </c>
      <c r="K33" s="11" t="inlineStr"/>
      <c r="L33" s="11" t="inlineStr">
        <is>
          <t>Chưa chạy</t>
        </is>
      </c>
      <c r="M33" s="11" t="inlineStr"/>
      <c r="N33" s="11" t="inlineStr"/>
      <c r="O33" s="11" t="inlineStr"/>
      <c r="P33" s="11" t="inlineStr"/>
    </row>
    <row r="34">
      <c r="A34" s="11" t="inlineStr">
        <is>
          <t>TC-AUTH04-004</t>
        </is>
      </c>
      <c r="B34" s="11" t="inlineStr">
        <is>
          <t>AUTH-04</t>
        </is>
      </c>
      <c r="C34" s="11" t="inlineStr">
        <is>
          <t>Xác thực</t>
        </is>
      </c>
      <c r="D34" s="11" t="inlineStr">
        <is>
          <t>Link đặt lại chỉ dùng 1 lần</t>
        </is>
      </c>
      <c r="E34" s="11" t="inlineStr">
        <is>
          <t>Đã dùng link ở TC trước</t>
        </is>
      </c>
      <c r="F34" s="11" t="inlineStr">
        <is>
          <t>–</t>
        </is>
      </c>
      <c r="G34" s="11" t="inlineStr">
        <is>
          <t>1. Mở lại link cũ, nhập mật khẩu mới</t>
        </is>
      </c>
      <c r="H34" s="11" t="inlineStr">
        <is>
          <t>Báo "Link đặt lại mật khẩu không hợp lệ hoặc đã hết hạn"</t>
        </is>
      </c>
      <c r="I34" s="11" t="inlineStr">
        <is>
          <t>P0</t>
        </is>
      </c>
      <c r="J34" s="11" t="inlineStr">
        <is>
          <t>Validate</t>
        </is>
      </c>
      <c r="K34" s="11" t="inlineStr"/>
      <c r="L34" s="11" t="inlineStr">
        <is>
          <t>Chưa chạy</t>
        </is>
      </c>
      <c r="M34" s="11" t="inlineStr"/>
      <c r="N34" s="11" t="inlineStr"/>
      <c r="O34" s="11" t="inlineStr"/>
      <c r="P34" s="11" t="inlineStr"/>
    </row>
    <row r="35">
      <c r="A35" s="11" t="inlineStr">
        <is>
          <t>TC-AUTH04-005</t>
        </is>
      </c>
      <c r="B35" s="11" t="inlineStr">
        <is>
          <t>AUTH-04</t>
        </is>
      </c>
      <c r="C35" s="11" t="inlineStr">
        <is>
          <t>Xác thực</t>
        </is>
      </c>
      <c r="D35" s="11" t="inlineStr">
        <is>
          <t>Link đặt lại quá 30 phút</t>
        </is>
      </c>
      <c r="E35" s="11" t="inlineStr">
        <is>
          <t>Có link &gt; 30 phút (giả lập trong DB)</t>
        </is>
      </c>
      <c r="F35" s="11" t="inlineStr">
        <is>
          <t>–</t>
        </is>
      </c>
      <c r="G35" s="11" t="inlineStr">
        <is>
          <t>1. Mở link, nhập mật khẩu mới</t>
        </is>
      </c>
      <c r="H35" s="11" t="inlineStr">
        <is>
          <t>Báo link hết hạn</t>
        </is>
      </c>
      <c r="I35" s="11" t="inlineStr">
        <is>
          <t>P1</t>
        </is>
      </c>
      <c r="J35" s="11" t="inlineStr">
        <is>
          <t>Biên</t>
        </is>
      </c>
      <c r="K35" s="11" t="inlineStr"/>
      <c r="L35" s="11" t="inlineStr">
        <is>
          <t>Chưa chạy</t>
        </is>
      </c>
      <c r="M35" s="11" t="inlineStr"/>
      <c r="N35" s="11" t="inlineStr"/>
      <c r="O35" s="11" t="inlineStr"/>
      <c r="P35" s="11" t="inlineStr"/>
    </row>
    <row r="36">
      <c r="A36" s="11" t="inlineStr">
        <is>
          <t>TC-AUTH04-006</t>
        </is>
      </c>
      <c r="B36" s="11" t="inlineStr">
        <is>
          <t>AUTH-04</t>
        </is>
      </c>
      <c r="C36" s="11" t="inlineStr">
        <is>
          <t>Xác thực</t>
        </is>
      </c>
      <c r="D36" s="11" t="inlineStr">
        <is>
          <t>Giới hạn quên mật khẩu 3 lần / 5 phút</t>
        </is>
      </c>
      <c r="E36" s="11" t="inlineStr">
        <is>
          <t>–</t>
        </is>
      </c>
      <c r="F36" s="11" t="inlineStr">
        <is>
          <t>uv2@demo.local</t>
        </is>
      </c>
      <c r="G36" s="11" t="inlineStr">
        <is>
          <t>1. Gửi yêu cầu quên mật khẩu 4 lần trong 5 phút</t>
        </is>
      </c>
      <c r="H36" s="11" t="inlineStr">
        <is>
          <t>Lần thứ 4 bị từ chối 429</t>
        </is>
      </c>
      <c r="I36" s="11" t="inlineStr">
        <is>
          <t>P1</t>
        </is>
      </c>
      <c r="J36" s="11" t="inlineStr">
        <is>
          <t>Bảo mật</t>
        </is>
      </c>
      <c r="K36" s="11" t="inlineStr"/>
      <c r="L36" s="11" t="inlineStr">
        <is>
          <t>Chưa chạy</t>
        </is>
      </c>
      <c r="M36" s="11" t="inlineStr"/>
      <c r="N36" s="11" t="inlineStr"/>
      <c r="O36" s="11" t="inlineStr"/>
      <c r="P36" s="11" t="inlineStr"/>
    </row>
    <row r="37">
      <c r="A37" s="11" t="inlineStr">
        <is>
          <t>TC-AUTH05-001</t>
        </is>
      </c>
      <c r="B37" s="11" t="inlineStr">
        <is>
          <t>AUTH-05</t>
        </is>
      </c>
      <c r="C37" s="11" t="inlineStr">
        <is>
          <t>Xác thực</t>
        </is>
      </c>
      <c r="D37" s="11" t="inlineStr">
        <is>
          <t>Đổi mật khẩu thành công</t>
        </is>
      </c>
      <c r="E37" s="11" t="inlineStr">
        <is>
          <t>uv1 đăng nhập</t>
        </is>
      </c>
      <c r="F37" s="11" t="inlineStr">
        <is>
          <t>MK cũ: Demo@123; MK mới: Qa112233</t>
        </is>
      </c>
      <c r="G37" s="11" t="inlineStr">
        <is>
          <t>1. Mở /account/change-password
2. Nhập MK hiện tại, MK mới
3. Bấm Lưu</t>
        </is>
      </c>
      <c r="H37" s="11" t="inlineStr">
        <is>
          <t>Đổi thành công; lần đăng nhập sau dùng MK mới</t>
        </is>
      </c>
      <c r="I37" s="11" t="inlineStr">
        <is>
          <t>P0</t>
        </is>
      </c>
      <c r="J37" s="11" t="inlineStr">
        <is>
          <t>Chức năng</t>
        </is>
      </c>
      <c r="K37" s="11" t="inlineStr"/>
      <c r="L37" s="11" t="inlineStr">
        <is>
          <t>Chưa chạy</t>
        </is>
      </c>
      <c r="M37" s="11" t="inlineStr"/>
      <c r="N37" s="11" t="inlineStr"/>
      <c r="O37" s="11" t="inlineStr"/>
      <c r="P37" s="11" t="inlineStr"/>
    </row>
    <row r="38">
      <c r="A38" s="11" t="inlineStr">
        <is>
          <t>TC-AUTH05-002</t>
        </is>
      </c>
      <c r="B38" s="11" t="inlineStr">
        <is>
          <t>AUTH-05</t>
        </is>
      </c>
      <c r="C38" s="11" t="inlineStr">
        <is>
          <t>Xác thực</t>
        </is>
      </c>
      <c r="D38" s="11" t="inlineStr">
        <is>
          <t>Sai mật khẩu hiện tại</t>
        </is>
      </c>
      <c r="E38" s="11" t="inlineStr">
        <is>
          <t>uv1 đăng nhập</t>
        </is>
      </c>
      <c r="F38" s="11" t="inlineStr">
        <is>
          <t>MK hiện tại: Sai12345</t>
        </is>
      </c>
      <c r="G38" s="11" t="inlineStr">
        <is>
          <t>1. Nhập sai MK hiện tại
2. Bấm Lưu</t>
        </is>
      </c>
      <c r="H38" s="11" t="inlineStr">
        <is>
          <t>Báo "Mật khẩu hiện tại không đúng"</t>
        </is>
      </c>
      <c r="I38" s="11" t="inlineStr">
        <is>
          <t>P0</t>
        </is>
      </c>
      <c r="J38" s="11" t="inlineStr">
        <is>
          <t>Validate</t>
        </is>
      </c>
      <c r="K38" s="11" t="inlineStr"/>
      <c r="L38" s="11" t="inlineStr">
        <is>
          <t>Chưa chạy</t>
        </is>
      </c>
      <c r="M38" s="11" t="inlineStr"/>
      <c r="N38" s="11" t="inlineStr"/>
      <c r="O38" s="11" t="inlineStr"/>
      <c r="P38" s="11" t="inlineStr"/>
    </row>
    <row r="39">
      <c r="A39" s="11" t="inlineStr">
        <is>
          <t>TC-AUTH05-003</t>
        </is>
      </c>
      <c r="B39" s="11" t="inlineStr">
        <is>
          <t>AUTH-05</t>
        </is>
      </c>
      <c r="C39" s="11" t="inlineStr">
        <is>
          <t>Xác thực</t>
        </is>
      </c>
      <c r="D39" s="11" t="inlineStr">
        <is>
          <t>Mật khẩu mới trùng mật khẩu cũ</t>
        </is>
      </c>
      <c r="E39" s="11" t="inlineStr">
        <is>
          <t>uv1 đăng nhập</t>
        </is>
      </c>
      <c r="F39" s="11" t="inlineStr">
        <is>
          <t>MK mới = MK hiện tại</t>
        </is>
      </c>
      <c r="G39" s="11" t="inlineStr">
        <is>
          <t>1. Nhập MK mới giống MK hiện tại
2. Bấm Lưu</t>
        </is>
      </c>
      <c r="H39" s="11" t="inlineStr">
        <is>
          <t>Báo "Mật khẩu mới phải khác mật khẩu hiện tại"</t>
        </is>
      </c>
      <c r="I39" s="11" t="inlineStr">
        <is>
          <t>P1</t>
        </is>
      </c>
      <c r="J39" s="11" t="inlineStr">
        <is>
          <t>Validate</t>
        </is>
      </c>
      <c r="K39" s="11" t="inlineStr"/>
      <c r="L39" s="11" t="inlineStr">
        <is>
          <t>Chưa chạy</t>
        </is>
      </c>
      <c r="M39" s="11" t="inlineStr"/>
      <c r="N39" s="11" t="inlineStr"/>
      <c r="O39" s="11" t="inlineStr"/>
      <c r="P39" s="11" t="inlineStr"/>
    </row>
    <row r="40">
      <c r="A40" s="11" t="inlineStr">
        <is>
          <t>TC-AUTH05-004</t>
        </is>
      </c>
      <c r="B40" s="11" t="inlineStr">
        <is>
          <t>AUTH-05</t>
        </is>
      </c>
      <c r="C40" s="11" t="inlineStr">
        <is>
          <t>Xác thực</t>
        </is>
      </c>
      <c r="D40" s="11" t="inlineStr">
        <is>
          <t>Đổi mật khẩu đăng xuất thiết bị khác</t>
        </is>
      </c>
      <c r="E40" s="11" t="inlineStr">
        <is>
          <t>uv1 đăng nhập ở trình duyệt A và B</t>
        </is>
      </c>
      <c r="F40" s="11" t="inlineStr">
        <is>
          <t>–</t>
        </is>
      </c>
      <c r="G40" s="11" t="inlineStr">
        <is>
          <t>1. Ở A đổi mật khẩu
2. Ở B thao tác ngay và sau 15 phút</t>
        </is>
      </c>
      <c r="H40" s="11" t="inlineStr">
        <is>
          <t>B không làm mới được phiên, bị yêu cầu đăng nhập lại (tối đa 15 phút)</t>
        </is>
      </c>
      <c r="I40" s="11" t="inlineStr">
        <is>
          <t>P0</t>
        </is>
      </c>
      <c r="J40" s="11" t="inlineStr">
        <is>
          <t>Bảo mật</t>
        </is>
      </c>
      <c r="K40" s="11" t="inlineStr"/>
      <c r="L40" s="11" t="inlineStr">
        <is>
          <t>Chưa chạy</t>
        </is>
      </c>
      <c r="M40" s="11" t="inlineStr"/>
      <c r="N40" s="11" t="inlineStr"/>
      <c r="O40" s="11" t="inlineStr"/>
      <c r="P40" s="11" t="inlineStr"/>
    </row>
    <row r="41">
      <c r="A41" s="11" t="inlineStr">
        <is>
          <t>TC-AUTH05-005</t>
        </is>
      </c>
      <c r="B41" s="11" t="inlineStr">
        <is>
          <t>AUTH-05</t>
        </is>
      </c>
      <c r="C41" s="11" t="inlineStr">
        <is>
          <t>Xác thực</t>
        </is>
      </c>
      <c r="D41" s="11" t="inlineStr">
        <is>
          <t>Đặt lại mật khẩu cũng đăng xuất mọi thiết bị</t>
        </is>
      </c>
      <c r="E41" s="11" t="inlineStr">
        <is>
          <t>uv2 đăng nhập ở trình duyệt A</t>
        </is>
      </c>
      <c r="F41" s="11" t="inlineStr">
        <is>
          <t>–</t>
        </is>
      </c>
      <c r="G41" s="11" t="inlineStr">
        <is>
          <t>1. Ở trình duyệt B dùng Quên mật khẩu đặt lại MK
2. Ở A thao tác sau 15 phút</t>
        </is>
      </c>
      <c r="H41" s="11" t="inlineStr">
        <is>
          <t>Phiên ở A hết hiệu lực</t>
        </is>
      </c>
      <c r="I41" s="11" t="inlineStr">
        <is>
          <t>P1</t>
        </is>
      </c>
      <c r="J41" s="11" t="inlineStr">
        <is>
          <t>Bảo mật</t>
        </is>
      </c>
      <c r="K41" s="11" t="inlineStr"/>
      <c r="L41" s="11" t="inlineStr">
        <is>
          <t>Chưa chạy</t>
        </is>
      </c>
      <c r="M41" s="11" t="inlineStr"/>
      <c r="N41" s="11" t="inlineStr"/>
      <c r="O41" s="11" t="inlineStr"/>
      <c r="P41" s="11" t="inlineStr"/>
    </row>
    <row r="42">
      <c r="A42" s="11" t="inlineStr">
        <is>
          <t>TC-AUTH06-001</t>
        </is>
      </c>
      <c r="B42" s="11" t="inlineStr">
        <is>
          <t>AUTH-06</t>
        </is>
      </c>
      <c r="C42" s="11" t="inlineStr">
        <is>
          <t>Xác thực</t>
        </is>
      </c>
      <c r="D42" s="11" t="inlineStr">
        <is>
          <t>Phát hiện refresh token bị dùng lại</t>
        </is>
      </c>
      <c r="E42" s="11" t="inlineStr">
        <is>
          <t>uv1 đăng nhập; đã sao chép cookie jp_rt</t>
        </is>
      </c>
      <c r="F42" s="11" t="inlineStr">
        <is>
          <t>Cookie jp_rt cũ</t>
        </is>
      </c>
      <c r="G42" s="11" t="inlineStr">
        <is>
          <t>1. Gọi POST /api/auth/refresh (token được xoay vòng)
2. Gọi lại refresh với cookie cũ</t>
        </is>
      </c>
      <c r="H42" s="11" t="inlineStr">
        <is>
          <t>Lần gọi lại bị từ chối; mọi phiên của uv1 bị thu hồi, phải đăng nhập lại</t>
        </is>
      </c>
      <c r="I42" s="11" t="inlineStr">
        <is>
          <t>P1</t>
        </is>
      </c>
      <c r="J42" s="11" t="inlineStr">
        <is>
          <t>Bảo mật</t>
        </is>
      </c>
      <c r="K42" s="11" t="inlineStr"/>
      <c r="L42" s="11" t="inlineStr">
        <is>
          <t>Chưa chạy</t>
        </is>
      </c>
      <c r="M42" s="11" t="inlineStr"/>
      <c r="N42" s="11" t="inlineStr"/>
      <c r="O42" s="11" t="inlineStr"/>
      <c r="P42" s="11" t="inlineStr"/>
    </row>
    <row r="43">
      <c r="A43" s="11" t="inlineStr">
        <is>
          <t>TC-AUTH07-001</t>
        </is>
      </c>
      <c r="B43" s="11" t="inlineStr">
        <is>
          <t>AUTH-07</t>
        </is>
      </c>
      <c r="C43" s="11" t="inlineStr">
        <is>
          <t>Xác thực</t>
        </is>
      </c>
      <c r="D43" s="11" t="inlineStr">
        <is>
          <t>Tài khoản bị khóa bị chặn ngay</t>
        </is>
      </c>
      <c r="E43" s="11" t="inlineStr">
        <is>
          <t>uv2 đang đăng nhập ở trình duyệt A</t>
        </is>
      </c>
      <c r="F43" s="11" t="inlineStr">
        <is>
          <t>Lý do khóa: QA test khóa</t>
        </is>
      </c>
      <c r="G43" s="11" t="inlineStr">
        <is>
          <t>1. Trình duyệt B: admin khóa uv2
2. Trình duyệt A: uv2 mở trang Hồ sơ</t>
        </is>
      </c>
      <c r="H43" s="11" t="inlineStr">
        <is>
          <t>Request kế tiếp bị chặn; uv2 bị đăng xuất / báo tài khoản đã bị khóa</t>
        </is>
      </c>
      <c r="I43" s="11" t="inlineStr">
        <is>
          <t>P0</t>
        </is>
      </c>
      <c r="J43" s="11" t="inlineStr">
        <is>
          <t>Bảo mật</t>
        </is>
      </c>
      <c r="K43" s="11" t="inlineStr"/>
      <c r="L43" s="11" t="inlineStr">
        <is>
          <t>Chưa chạy</t>
        </is>
      </c>
      <c r="M43" s="11" t="inlineStr"/>
      <c r="N43" s="11" t="inlineStr"/>
      <c r="O43" s="11" t="inlineStr"/>
      <c r="P43" s="11" t="inlineStr"/>
    </row>
    <row r="44">
      <c r="A44" s="11" t="inlineStr">
        <is>
          <t>TC-AUTH07-002</t>
        </is>
      </c>
      <c r="B44" s="11" t="inlineStr">
        <is>
          <t>AUTH-07</t>
        </is>
      </c>
      <c r="C44" s="11" t="inlineStr">
        <is>
          <t>Xác thực</t>
        </is>
      </c>
      <c r="D44" s="11" t="inlineStr">
        <is>
          <t>Tài khoản bị khóa không đăng nhập được</t>
        </is>
      </c>
      <c r="E44" s="11" t="inlineStr">
        <is>
          <t>uv2 đang bị khóa</t>
        </is>
      </c>
      <c r="F44" s="11" t="inlineStr">
        <is>
          <t>uv2@demo.local / Demo@123</t>
        </is>
      </c>
      <c r="G44" s="11" t="inlineStr">
        <is>
          <t>1. Đăng nhập uv2</t>
        </is>
      </c>
      <c r="H44" s="11" t="inlineStr">
        <is>
          <t>Báo "Tài khoản của bạn đã bị khóa. Vui lòng liên hệ quản trị viên"</t>
        </is>
      </c>
      <c r="I44" s="11" t="inlineStr">
        <is>
          <t>P0</t>
        </is>
      </c>
      <c r="J44" s="11" t="inlineStr">
        <is>
          <t>Chức năng</t>
        </is>
      </c>
      <c r="K44" s="11" t="inlineStr"/>
      <c r="L44" s="11" t="inlineStr">
        <is>
          <t>Chưa chạy</t>
        </is>
      </c>
      <c r="M44" s="11" t="inlineStr"/>
      <c r="N44" s="11" t="inlineStr"/>
      <c r="O44" s="11" t="inlineStr"/>
      <c r="P44" s="11" t="inlineStr"/>
    </row>
    <row r="45">
      <c r="A45" s="11" t="inlineStr">
        <is>
          <t>TC-AUTH07-003</t>
        </is>
      </c>
      <c r="B45" s="11" t="inlineStr">
        <is>
          <t>AUTH-07</t>
        </is>
      </c>
      <c r="C45" s="11" t="inlineStr">
        <is>
          <t>Xác thực</t>
        </is>
      </c>
      <c r="D45" s="11" t="inlineStr">
        <is>
          <t>Mở khóa thì đăng nhập lại được</t>
        </is>
      </c>
      <c r="E45" s="11" t="inlineStr">
        <is>
          <t>uv2 đang bị khóa</t>
        </is>
      </c>
      <c r="F45" s="11" t="inlineStr">
        <is>
          <t>–</t>
        </is>
      </c>
      <c r="G45" s="11" t="inlineStr">
        <is>
          <t>1. Admin mở khóa uv2
2. Đăng nhập uv2</t>
        </is>
      </c>
      <c r="H45" s="11" t="inlineStr">
        <is>
          <t>Đăng nhập thành công</t>
        </is>
      </c>
      <c r="I45" s="11" t="inlineStr">
        <is>
          <t>P1</t>
        </is>
      </c>
      <c r="J45" s="11" t="inlineStr">
        <is>
          <t>Chức năng</t>
        </is>
      </c>
      <c r="K45" s="11" t="inlineStr"/>
      <c r="L45" s="11" t="inlineStr">
        <is>
          <t>Chưa chạy</t>
        </is>
      </c>
      <c r="M45" s="11" t="inlineStr"/>
      <c r="N45" s="11" t="inlineStr"/>
      <c r="O45" s="11" t="inlineStr"/>
      <c r="P45" s="11" t="inlineStr"/>
    </row>
  </sheetData>
  <autoFilter ref="A1:P45"/>
  <conditionalFormatting sqref="L2:L4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"Skip"</formula>
    </cfRule>
  </conditionalFormatting>
  <dataValidations count="1">
    <dataValidation sqref="L2:L45" showDropDown="0" showInputMessage="0" showErrorMessage="0" allowBlank="1" type="list">
      <formula1>"Chưa chạy,Pass,Fail,Blocked,Skip"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38" customWidth="1" min="4" max="4"/>
    <col width="32" customWidth="1" min="5" max="5"/>
    <col width="32" customWidth="1" min="6" max="6"/>
    <col width="48" customWidth="1" min="7" max="7"/>
    <col width="52" customWidth="1" min="8" max="8"/>
    <col width="8" customWidth="1" min="9" max="9"/>
    <col width="12" customWidth="1" min="10" max="10"/>
    <col width="30" customWidth="1" min="11" max="11"/>
    <col width="12" customWidth="1" min="12" max="12"/>
    <col width="12" customWidth="1" min="13" max="13"/>
    <col width="12" customWidth="1" min="14" max="14"/>
    <col width="10" customWidth="1" min="15" max="15"/>
    <col width="20" customWidth="1" min="16" max="16"/>
  </cols>
  <sheetData>
    <row r="1">
      <c r="A1" s="10" t="inlineStr">
        <is>
          <t>Mã TC</t>
        </is>
      </c>
      <c r="B1" s="10" t="inlineStr">
        <is>
          <t>Mã yêu cầu</t>
        </is>
      </c>
      <c r="C1" s="10" t="inlineStr">
        <is>
          <t>Module</t>
        </is>
      </c>
      <c r="D1" s="10" t="inlineStr">
        <is>
          <t>Tiêu đề</t>
        </is>
      </c>
      <c r="E1" s="10" t="inlineStr">
        <is>
          <t>Tiền điều kiện</t>
        </is>
      </c>
      <c r="F1" s="10" t="inlineStr">
        <is>
          <t>Dữ liệu test</t>
        </is>
      </c>
      <c r="G1" s="10" t="inlineStr">
        <is>
          <t>Các bước</t>
        </is>
      </c>
      <c r="H1" s="10" t="inlineStr">
        <is>
          <t>Kết quả mong đợi</t>
        </is>
      </c>
      <c r="I1" s="10" t="inlineStr">
        <is>
          <t>Ưu tiên</t>
        </is>
      </c>
      <c r="J1" s="10" t="inlineStr">
        <is>
          <t>Loại</t>
        </is>
      </c>
      <c r="K1" s="10" t="inlineStr">
        <is>
          <t>Kết quả thực tế</t>
        </is>
      </c>
      <c r="L1" s="10" t="inlineStr">
        <is>
          <t>Trạng thái</t>
        </is>
      </c>
      <c r="M1" s="10" t="inlineStr">
        <is>
          <t>Người test</t>
        </is>
      </c>
      <c r="N1" s="10" t="inlineStr">
        <is>
          <t>Ngày test</t>
        </is>
      </c>
      <c r="O1" s="10" t="inlineStr">
        <is>
          <t>Mã bug</t>
        </is>
      </c>
      <c r="P1" s="10" t="inlineStr">
        <is>
          <t>Ghi chú</t>
        </is>
      </c>
    </row>
    <row r="2">
      <c r="A2" s="11" t="inlineStr">
        <is>
          <t>TC-CAN01-001</t>
        </is>
      </c>
      <c r="B2" s="11" t="inlineStr">
        <is>
          <t>CAN-01</t>
        </is>
      </c>
      <c r="C2" s="11" t="inlineStr">
        <is>
          <t>Ứng viên</t>
        </is>
      </c>
      <c r="D2" s="11" t="inlineStr">
        <is>
          <t>Cập nhật hồ sơ cá nhân</t>
        </is>
      </c>
      <c r="E2" s="11" t="inlineStr">
        <is>
          <t>uv1 đăng nhập</t>
        </is>
      </c>
      <c r="F2" s="11" t="inlineStr">
        <is>
          <t>Họ tên: QA Ứng Viên; SĐT: 0912345678; Tỉnh: Hà Nội; Tiêu đề: Lập trình viên ReactJS; KN: 3; Lương mong muốn: 20.000.000</t>
        </is>
      </c>
      <c r="G2" s="11" t="inlineStr">
        <is>
          <t>1. Mở /candidate/profile
2. Sửa các trường
3. Bấm Lưu
4. Tải lại trang</t>
        </is>
      </c>
      <c r="H2" s="11" t="inlineStr">
        <is>
          <t>Hiện toast lưu thành công; dữ liệu giữ nguyên sau khi tải lại</t>
        </is>
      </c>
      <c r="I2" s="11" t="inlineStr">
        <is>
          <t>P0</t>
        </is>
      </c>
      <c r="J2" s="11" t="inlineStr">
        <is>
          <t>Chức năng</t>
        </is>
      </c>
      <c r="K2" s="11" t="inlineStr"/>
      <c r="L2" s="11" t="inlineStr">
        <is>
          <t>Chưa chạy</t>
        </is>
      </c>
      <c r="M2" s="11" t="inlineStr"/>
      <c r="N2" s="11" t="inlineStr"/>
      <c r="O2" s="11" t="inlineStr"/>
      <c r="P2" s="11" t="inlineStr"/>
    </row>
    <row r="3">
      <c r="A3" s="11" t="inlineStr">
        <is>
          <t>TC-CAN01-002</t>
        </is>
      </c>
      <c r="B3" s="11" t="inlineStr">
        <is>
          <t>CAN-01</t>
        </is>
      </c>
      <c r="C3" s="11" t="inlineStr">
        <is>
          <t>Ứng viên</t>
        </is>
      </c>
      <c r="D3" s="11" t="inlineStr">
        <is>
          <t>Bỏ trống họ tên</t>
        </is>
      </c>
      <c r="E3" s="11" t="inlineStr">
        <is>
          <t>uv1 đăng nhập</t>
        </is>
      </c>
      <c r="F3" s="11" t="inlineStr">
        <is>
          <t>Họ tên: (trống)</t>
        </is>
      </c>
      <c r="G3" s="11" t="inlineStr">
        <is>
          <t>1. Xóa họ tên
2. Bấm Lưu</t>
        </is>
      </c>
      <c r="H3" s="11" t="inlineStr">
        <is>
          <t>Báo "Họ tên không được để trống"</t>
        </is>
      </c>
      <c r="I3" s="11" t="inlineStr">
        <is>
          <t>P0</t>
        </is>
      </c>
      <c r="J3" s="11" t="inlineStr">
        <is>
          <t>Validate</t>
        </is>
      </c>
      <c r="K3" s="11" t="inlineStr"/>
      <c r="L3" s="11" t="inlineStr">
        <is>
          <t>Chưa chạy</t>
        </is>
      </c>
      <c r="M3" s="11" t="inlineStr"/>
      <c r="N3" s="11" t="inlineStr"/>
      <c r="O3" s="11" t="inlineStr"/>
      <c r="P3" s="11" t="inlineStr"/>
    </row>
    <row r="4">
      <c r="A4" s="11" t="inlineStr">
        <is>
          <t>TC-CAN01-003</t>
        </is>
      </c>
      <c r="B4" s="11" t="inlineStr">
        <is>
          <t>CAN-01</t>
        </is>
      </c>
      <c r="C4" s="11" t="inlineStr">
        <is>
          <t>Ứng viên</t>
        </is>
      </c>
      <c r="D4" s="11" t="inlineStr">
        <is>
          <t>Số điện thoại sai định dạng</t>
        </is>
      </c>
      <c r="E4" s="11" t="inlineStr">
        <is>
          <t>uv1 đăng nhập</t>
        </is>
      </c>
      <c r="F4" s="11" t="inlineStr">
        <is>
          <t>SĐT: 12ab ; 1234567 (7 ký tự)</t>
        </is>
      </c>
      <c r="G4" s="11" t="inlineStr">
        <is>
          <t>1. Nhập SĐT sai
2. Bấm Lưu</t>
        </is>
      </c>
      <c r="H4" s="11" t="inlineStr">
        <is>
          <t>Báo "Số điện thoại không hợp lệ"</t>
        </is>
      </c>
      <c r="I4" s="11" t="inlineStr">
        <is>
          <t>P1</t>
        </is>
      </c>
      <c r="J4" s="11" t="inlineStr">
        <is>
          <t>Validate</t>
        </is>
      </c>
      <c r="K4" s="11" t="inlineStr"/>
      <c r="L4" s="11" t="inlineStr">
        <is>
          <t>Chưa chạy</t>
        </is>
      </c>
      <c r="M4" s="11" t="inlineStr"/>
      <c r="N4" s="11" t="inlineStr"/>
      <c r="O4" s="11" t="inlineStr"/>
      <c r="P4" s="11" t="inlineStr"/>
    </row>
    <row r="5">
      <c r="A5" s="11" t="inlineStr">
        <is>
          <t>TC-CAN01-004</t>
        </is>
      </c>
      <c r="B5" s="11" t="inlineStr">
        <is>
          <t>CAN-01</t>
        </is>
      </c>
      <c r="C5" s="11" t="inlineStr">
        <is>
          <t>Ứng viên</t>
        </is>
      </c>
      <c r="D5" s="11" t="inlineStr">
        <is>
          <t>Họ tên 150 / 151 ký tự</t>
        </is>
      </c>
      <c r="E5" s="11" t="inlineStr">
        <is>
          <t>uv1 đăng nhập</t>
        </is>
      </c>
      <c r="F5" s="11" t="inlineStr">
        <is>
          <t>Họ tên 150 và 151 ký tự</t>
        </is>
      </c>
      <c r="G5" s="11" t="inlineStr">
        <is>
          <t>1. Nhập 150 ký tự → Lưu
2. Nhập 151 ký tự → Lưu</t>
        </is>
      </c>
      <c r="H5" s="11" t="inlineStr">
        <is>
          <t>150 lưu được; 151 bị chặn hoặc báo lỗi</t>
        </is>
      </c>
      <c r="I5" s="11" t="inlineStr">
        <is>
          <t>P2</t>
        </is>
      </c>
      <c r="J5" s="11" t="inlineStr">
        <is>
          <t>Biên</t>
        </is>
      </c>
      <c r="K5" s="11" t="inlineStr"/>
      <c r="L5" s="11" t="inlineStr">
        <is>
          <t>Chưa chạy</t>
        </is>
      </c>
      <c r="M5" s="11" t="inlineStr"/>
      <c r="N5" s="11" t="inlineStr"/>
      <c r="O5" s="11" t="inlineStr"/>
      <c r="P5" s="11" t="inlineStr"/>
    </row>
    <row r="6">
      <c r="A6" s="11" t="inlineStr">
        <is>
          <t>TC-CAN01-005</t>
        </is>
      </c>
      <c r="B6" s="11" t="inlineStr">
        <is>
          <t>CAN-01</t>
        </is>
      </c>
      <c r="C6" s="11" t="inlineStr">
        <is>
          <t>Ứng viên</t>
        </is>
      </c>
      <c r="D6" s="11" t="inlineStr">
        <is>
          <t>Ngày sinh ở tương lai / sai định dạng</t>
        </is>
      </c>
      <c r="E6" s="11" t="inlineStr">
        <is>
          <t>uv1 đăng nhập</t>
        </is>
      </c>
      <c r="F6" s="11" t="inlineStr">
        <is>
          <t>Ngày sinh: ngày mai</t>
        </is>
      </c>
      <c r="G6" s="11" t="inlineStr">
        <is>
          <t>1. Chọn ngày sinh ở tương lai
2. Bấm Lưu</t>
        </is>
      </c>
      <c r="H6" s="11" t="inlineStr">
        <is>
          <t>Báo lỗi ngày sinh không hợp lệ</t>
        </is>
      </c>
      <c r="I6" s="11" t="inlineStr">
        <is>
          <t>P1</t>
        </is>
      </c>
      <c r="J6" s="11" t="inlineStr">
        <is>
          <t>Validate</t>
        </is>
      </c>
      <c r="K6" s="11" t="inlineStr"/>
      <c r="L6" s="11" t="inlineStr">
        <is>
          <t>Chưa chạy</t>
        </is>
      </c>
      <c r="M6" s="11" t="inlineStr"/>
      <c r="N6" s="11" t="inlineStr"/>
      <c r="O6" s="11" t="inlineStr"/>
      <c r="P6" s="11" t="inlineStr"/>
    </row>
    <row r="7">
      <c r="A7" s="11" t="inlineStr">
        <is>
          <t>TC-CAN01-006</t>
        </is>
      </c>
      <c r="B7" s="11" t="inlineStr">
        <is>
          <t>CAN-01</t>
        </is>
      </c>
      <c r="C7" s="11" t="inlineStr">
        <is>
          <t>Ứng viên</t>
        </is>
      </c>
      <c r="D7" s="11" t="inlineStr">
        <is>
          <t>Tải ảnh đại diện hợp lệ</t>
        </is>
      </c>
      <c r="E7" s="11" t="inlineStr">
        <is>
          <t>uv1 đăng nhập</t>
        </is>
      </c>
      <c r="F7" s="11" t="inlineStr">
        <is>
          <t>Ảnh PNG 500KB</t>
        </is>
      </c>
      <c r="G7" s="11" t="inlineStr">
        <is>
          <t>1. Bấm đổi ảnh đại diện
2. Chọn file</t>
        </is>
      </c>
      <c r="H7" s="11" t="inlineStr">
        <is>
          <t>Ảnh mới hiển thị ở hồ sơ và header</t>
        </is>
      </c>
      <c r="I7" s="11" t="inlineStr">
        <is>
          <t>P1</t>
        </is>
      </c>
      <c r="J7" s="11" t="inlineStr">
        <is>
          <t>Chức năng</t>
        </is>
      </c>
      <c r="K7" s="11" t="inlineStr"/>
      <c r="L7" s="11" t="inlineStr">
        <is>
          <t>Chưa chạy</t>
        </is>
      </c>
      <c r="M7" s="11" t="inlineStr"/>
      <c r="N7" s="11" t="inlineStr"/>
      <c r="O7" s="11" t="inlineStr"/>
      <c r="P7" s="11" t="inlineStr"/>
    </row>
    <row r="8">
      <c r="A8" s="11" t="inlineStr">
        <is>
          <t>TC-CAN01-007</t>
        </is>
      </c>
      <c r="B8" s="11" t="inlineStr">
        <is>
          <t>CAN-01</t>
        </is>
      </c>
      <c r="C8" s="11" t="inlineStr">
        <is>
          <t>Ứng viên</t>
        </is>
      </c>
      <c r="D8" s="11" t="inlineStr">
        <is>
          <t>Ảnh đại diện vượt 2MB</t>
        </is>
      </c>
      <c r="E8" s="11" t="inlineStr">
        <is>
          <t>uv1 đăng nhập</t>
        </is>
      </c>
      <c r="F8" s="11" t="inlineStr">
        <is>
          <t>Ảnh JPG 2,1MB</t>
        </is>
      </c>
      <c r="G8" s="11" t="inlineStr">
        <is>
          <t>1. Chọn file ảnh 2,1MB</t>
        </is>
      </c>
      <c r="H8" s="11" t="inlineStr">
        <is>
          <t>Báo "File tối đa 2MB"; ảnh cũ giữ nguyên</t>
        </is>
      </c>
      <c r="I8" s="11" t="inlineStr">
        <is>
          <t>P1</t>
        </is>
      </c>
      <c r="J8" s="11" t="inlineStr">
        <is>
          <t>Biên</t>
        </is>
      </c>
      <c r="K8" s="11" t="inlineStr"/>
      <c r="L8" s="11" t="inlineStr">
        <is>
          <t>Chưa chạy</t>
        </is>
      </c>
      <c r="M8" s="11" t="inlineStr"/>
      <c r="N8" s="11" t="inlineStr"/>
      <c r="O8" s="11" t="inlineStr"/>
      <c r="P8" s="11" t="inlineStr"/>
    </row>
    <row r="9">
      <c r="A9" s="11" t="inlineStr">
        <is>
          <t>TC-CAN01-008</t>
        </is>
      </c>
      <c r="B9" s="11" t="inlineStr">
        <is>
          <t>CAN-01</t>
        </is>
      </c>
      <c r="C9" s="11" t="inlineStr">
        <is>
          <t>Ứng viên</t>
        </is>
      </c>
      <c r="D9" s="11" t="inlineStr">
        <is>
          <t>Ảnh đại diện sai định dạng</t>
        </is>
      </c>
      <c r="E9" s="11" t="inlineStr">
        <is>
          <t>uv1 đăng nhập</t>
        </is>
      </c>
      <c r="F9" s="11" t="inlineStr">
        <is>
          <t>File GIF; file .exe đổi đuôi .png</t>
        </is>
      </c>
      <c r="G9" s="11" t="inlineStr">
        <is>
          <t>1. Chọn từng file</t>
        </is>
      </c>
      <c r="H9" s="11" t="inlineStr">
        <is>
          <t>Báo chỉ chấp nhận JPG/PNG/WEBP; file giả mạo bị từ chối</t>
        </is>
      </c>
      <c r="I9" s="11" t="inlineStr">
        <is>
          <t>P1</t>
        </is>
      </c>
      <c r="J9" s="11" t="inlineStr">
        <is>
          <t>Validate</t>
        </is>
      </c>
      <c r="K9" s="11" t="inlineStr"/>
      <c r="L9" s="11" t="inlineStr">
        <is>
          <t>Chưa chạy</t>
        </is>
      </c>
      <c r="M9" s="11" t="inlineStr"/>
      <c r="N9" s="11" t="inlineStr"/>
      <c r="O9" s="11" t="inlineStr"/>
      <c r="P9" s="11" t="inlineStr"/>
    </row>
    <row r="10">
      <c r="A10" s="11" t="inlineStr">
        <is>
          <t>TC-CAN02-001</t>
        </is>
      </c>
      <c r="B10" s="11" t="inlineStr">
        <is>
          <t>CAN-02</t>
        </is>
      </c>
      <c r="C10" s="11" t="inlineStr">
        <is>
          <t>Ứng viên</t>
        </is>
      </c>
      <c r="D10" s="11" t="inlineStr">
        <is>
          <t>Thêm kinh nghiệm làm việc</t>
        </is>
      </c>
      <c r="E10" s="11" t="inlineStr">
        <is>
          <t>uv1 đăng nhập</t>
        </is>
      </c>
      <c r="F10" s="11" t="inlineStr">
        <is>
          <t>Công ty: QA Corp; Vị trí: Dev; 01/2022 – 12/2023</t>
        </is>
      </c>
      <c r="G10" s="11" t="inlineStr">
        <is>
          <t>1. Mở mục Kinh nghiệm
2. Bấm Thêm
3. Nhập thông tin
4. Lưu</t>
        </is>
      </c>
      <c r="H10" s="11" t="inlineStr">
        <is>
          <t>Kinh nghiệm hiện trong danh sách, sắp xếp theo thời gian</t>
        </is>
      </c>
      <c r="I10" s="11" t="inlineStr">
        <is>
          <t>P0</t>
        </is>
      </c>
      <c r="J10" s="11" t="inlineStr">
        <is>
          <t>Chức năng</t>
        </is>
      </c>
      <c r="K10" s="11" t="inlineStr"/>
      <c r="L10" s="11" t="inlineStr">
        <is>
          <t>Chưa chạy</t>
        </is>
      </c>
      <c r="M10" s="11" t="inlineStr"/>
      <c r="N10" s="11" t="inlineStr"/>
      <c r="O10" s="11" t="inlineStr"/>
      <c r="P10" s="11" t="inlineStr"/>
    </row>
    <row r="11">
      <c r="A11" s="11" t="inlineStr">
        <is>
          <t>TC-CAN02-002</t>
        </is>
      </c>
      <c r="B11" s="11" t="inlineStr">
        <is>
          <t>CAN-02</t>
        </is>
      </c>
      <c r="C11" s="11" t="inlineStr">
        <is>
          <t>Ứng viên</t>
        </is>
      </c>
      <c r="D11" s="11" t="inlineStr">
        <is>
          <t>Ngày kết thúc trước ngày bắt đầu</t>
        </is>
      </c>
      <c r="E11" s="11" t="inlineStr">
        <is>
          <t>uv1 đăng nhập</t>
        </is>
      </c>
      <c r="F11" s="11" t="inlineStr">
        <is>
          <t>Bắt đầu 2023-05; Kết thúc 2022-01</t>
        </is>
      </c>
      <c r="G11" s="11" t="inlineStr">
        <is>
          <t>1. Thêm kinh nghiệm với ngày sai
2. Lưu</t>
        </is>
      </c>
      <c r="H11" s="11" t="inlineStr">
        <is>
          <t>Báo "Ngày kết thúc phải sau ngày bắt đầu"</t>
        </is>
      </c>
      <c r="I11" s="11" t="inlineStr">
        <is>
          <t>P0</t>
        </is>
      </c>
      <c r="J11" s="11" t="inlineStr">
        <is>
          <t>Validate</t>
        </is>
      </c>
      <c r="K11" s="11" t="inlineStr"/>
      <c r="L11" s="11" t="inlineStr">
        <is>
          <t>Chưa chạy</t>
        </is>
      </c>
      <c r="M11" s="11" t="inlineStr"/>
      <c r="N11" s="11" t="inlineStr"/>
      <c r="O11" s="11" t="inlineStr"/>
      <c r="P11" s="11" t="inlineStr"/>
    </row>
    <row r="12">
      <c r="A12" s="11" t="inlineStr">
        <is>
          <t>TC-CAN02-003</t>
        </is>
      </c>
      <c r="B12" s="11" t="inlineStr">
        <is>
          <t>CAN-02</t>
        </is>
      </c>
      <c r="C12" s="11" t="inlineStr">
        <is>
          <t>Ứng viên</t>
        </is>
      </c>
      <c r="D12" s="11" t="inlineStr">
        <is>
          <t>Sửa và xóa kinh nghiệm</t>
        </is>
      </c>
      <c r="E12" s="11" t="inlineStr">
        <is>
          <t>uv1 có 1 kinh nghiệm</t>
        </is>
      </c>
      <c r="F12" s="11" t="inlineStr">
        <is>
          <t>–</t>
        </is>
      </c>
      <c r="G12" s="11" t="inlineStr">
        <is>
          <t>1. Sửa vị trí → Lưu
2. Xóa kinh nghiệm đó</t>
        </is>
      </c>
      <c r="H12" s="11" t="inlineStr">
        <is>
          <t>Sửa được; xóa xong biến mất khỏi danh sách</t>
        </is>
      </c>
      <c r="I12" s="11" t="inlineStr">
        <is>
          <t>P1</t>
        </is>
      </c>
      <c r="J12" s="11" t="inlineStr">
        <is>
          <t>Chức năng</t>
        </is>
      </c>
      <c r="K12" s="11" t="inlineStr"/>
      <c r="L12" s="11" t="inlineStr">
        <is>
          <t>Chưa chạy</t>
        </is>
      </c>
      <c r="M12" s="11" t="inlineStr"/>
      <c r="N12" s="11" t="inlineStr"/>
      <c r="O12" s="11" t="inlineStr"/>
      <c r="P12" s="11" t="inlineStr"/>
    </row>
    <row r="13">
      <c r="A13" s="11" t="inlineStr">
        <is>
          <t>TC-CAN02-004</t>
        </is>
      </c>
      <c r="B13" s="11" t="inlineStr">
        <is>
          <t>CAN-02</t>
        </is>
      </c>
      <c r="C13" s="11" t="inlineStr">
        <is>
          <t>Ứng viên</t>
        </is>
      </c>
      <c r="D13" s="11" t="inlineStr">
        <is>
          <t>Thêm / sửa / xóa học vấn</t>
        </is>
      </c>
      <c r="E13" s="11" t="inlineStr">
        <is>
          <t>uv1 đăng nhập</t>
        </is>
      </c>
      <c r="F13" s="11" t="inlineStr">
        <is>
          <t>Trường: ĐH Bách Khoa; Chuyên ngành: CNTT</t>
        </is>
      </c>
      <c r="G13" s="11" t="inlineStr">
        <is>
          <t>1. Thêm học vấn
2. Sửa
3. Xóa</t>
        </is>
      </c>
      <c r="H13" s="11" t="inlineStr">
        <is>
          <t>Các thao tác thành công, danh sách cập nhật đúng</t>
        </is>
      </c>
      <c r="I13" s="11" t="inlineStr">
        <is>
          <t>P0</t>
        </is>
      </c>
      <c r="J13" s="11" t="inlineStr">
        <is>
          <t>Chức năng</t>
        </is>
      </c>
      <c r="K13" s="11" t="inlineStr"/>
      <c r="L13" s="11" t="inlineStr">
        <is>
          <t>Chưa chạy</t>
        </is>
      </c>
      <c r="M13" s="11" t="inlineStr"/>
      <c r="N13" s="11" t="inlineStr"/>
      <c r="O13" s="11" t="inlineStr"/>
      <c r="P13" s="11" t="inlineStr"/>
    </row>
    <row r="14">
      <c r="A14" s="11" t="inlineStr">
        <is>
          <t>TC-CAN02-005</t>
        </is>
      </c>
      <c r="B14" s="11" t="inlineStr">
        <is>
          <t>CAN-02</t>
        </is>
      </c>
      <c r="C14" s="11" t="inlineStr">
        <is>
          <t>Ứng viên</t>
        </is>
      </c>
      <c r="D14" s="11" t="inlineStr">
        <is>
          <t>Chọn kỹ năng</t>
        </is>
      </c>
      <c r="E14" s="11" t="inlineStr">
        <is>
          <t>uv1 đăng nhập</t>
        </is>
      </c>
      <c r="F14" s="11" t="inlineStr">
        <is>
          <t>ReactJS, TypeScript, SQL</t>
        </is>
      </c>
      <c r="G14" s="11" t="inlineStr">
        <is>
          <t>1. Mở mục Kỹ năng
2. Chọn 3 kỹ năng
3. Lưu</t>
        </is>
      </c>
      <c r="H14" s="11" t="inlineStr">
        <is>
          <t>Kỹ năng hiển thị dạng chip, giữ nguyên sau tải lại</t>
        </is>
      </c>
      <c r="I14" s="11" t="inlineStr">
        <is>
          <t>P0</t>
        </is>
      </c>
      <c r="J14" s="11" t="inlineStr">
        <is>
          <t>Chức năng</t>
        </is>
      </c>
      <c r="K14" s="11" t="inlineStr"/>
      <c r="L14" s="11" t="inlineStr">
        <is>
          <t>Chưa chạy</t>
        </is>
      </c>
      <c r="M14" s="11" t="inlineStr"/>
      <c r="N14" s="11" t="inlineStr"/>
      <c r="O14" s="11" t="inlineStr"/>
      <c r="P14" s="11" t="inlineStr"/>
    </row>
    <row r="15">
      <c r="A15" s="11" t="inlineStr">
        <is>
          <t>TC-CAN02-006</t>
        </is>
      </c>
      <c r="B15" s="11" t="inlineStr">
        <is>
          <t>CAN-02</t>
        </is>
      </c>
      <c r="C15" s="11" t="inlineStr">
        <is>
          <t>Ứng viên</t>
        </is>
      </c>
      <c r="D15" s="11" t="inlineStr">
        <is>
          <t>Chọn tối đa 30 kỹ năng</t>
        </is>
      </c>
      <c r="E15" s="11" t="inlineStr">
        <is>
          <t>uv1 đăng nhập</t>
        </is>
      </c>
      <c r="F15" s="11" t="inlineStr">
        <is>
          <t>30 và 31 kỹ năng</t>
        </is>
      </c>
      <c r="G15" s="11" t="inlineStr">
        <is>
          <t>1. Chọn 30 kỹ năng → Lưu
2. Thử chọn kỹ năng thứ 31</t>
        </is>
      </c>
      <c r="H15" s="11" t="inlineStr">
        <is>
          <t>30 lưu được; không chọn được hoặc báo lỗi ở kỹ năng thứ 31</t>
        </is>
      </c>
      <c r="I15" s="11" t="inlineStr">
        <is>
          <t>P1</t>
        </is>
      </c>
      <c r="J15" s="11" t="inlineStr">
        <is>
          <t>Biên</t>
        </is>
      </c>
      <c r="K15" s="11" t="inlineStr"/>
      <c r="L15" s="11" t="inlineStr">
        <is>
          <t>Chưa chạy</t>
        </is>
      </c>
      <c r="M15" s="11" t="inlineStr"/>
      <c r="N15" s="11" t="inlineStr"/>
      <c r="O15" s="11" t="inlineStr"/>
      <c r="P15" s="11" t="inlineStr"/>
    </row>
    <row r="16">
      <c r="A16" s="11" t="inlineStr">
        <is>
          <t>TC-CAN03-001</t>
        </is>
      </c>
      <c r="B16" s="11" t="inlineStr">
        <is>
          <t>CAN-03</t>
        </is>
      </c>
      <c r="C16" s="11" t="inlineStr">
        <is>
          <t>Ứng viên</t>
        </is>
      </c>
      <c r="D16" s="11" t="inlineStr">
        <is>
          <t>Tải lên CV PDF</t>
        </is>
      </c>
      <c r="E16" s="11" t="inlineStr">
        <is>
          <t>uv1 đăng nhập, &lt; 5 CV</t>
        </is>
      </c>
      <c r="F16" s="11" t="inlineStr">
        <is>
          <t>cv-qa.pdf 200KB</t>
        </is>
      </c>
      <c r="G16" s="11" t="inlineStr">
        <is>
          <t>1. Mở /candidate/resumes
2. Bấm Tải CV
3. Chọn file</t>
        </is>
      </c>
      <c r="H16" s="11" t="inlineStr">
        <is>
          <t>CV xuất hiện trong danh sách (tên, ngày, dung lượng)</t>
        </is>
      </c>
      <c r="I16" s="11" t="inlineStr">
        <is>
          <t>P0</t>
        </is>
      </c>
      <c r="J16" s="11" t="inlineStr">
        <is>
          <t>Chức năng</t>
        </is>
      </c>
      <c r="K16" s="11" t="inlineStr"/>
      <c r="L16" s="11" t="inlineStr">
        <is>
          <t>Chưa chạy</t>
        </is>
      </c>
      <c r="M16" s="11" t="inlineStr"/>
      <c r="N16" s="11" t="inlineStr"/>
      <c r="O16" s="11" t="inlineStr"/>
      <c r="P16" s="11" t="inlineStr"/>
    </row>
    <row r="17">
      <c r="A17" s="11" t="inlineStr">
        <is>
          <t>TC-CAN03-002</t>
        </is>
      </c>
      <c r="B17" s="11" t="inlineStr">
        <is>
          <t>CAN-03</t>
        </is>
      </c>
      <c r="C17" s="11" t="inlineStr">
        <is>
          <t>Ứng viên</t>
        </is>
      </c>
      <c r="D17" s="11" t="inlineStr">
        <is>
          <t>Tải lên CV DOC và DOCX</t>
        </is>
      </c>
      <c r="E17" s="11" t="inlineStr">
        <is>
          <t>uv1 đăng nhập</t>
        </is>
      </c>
      <c r="F17" s="11" t="inlineStr">
        <is>
          <t>cv.doc, cv.docx</t>
        </is>
      </c>
      <c r="G17" s="11" t="inlineStr">
        <is>
          <t>1. Tải lần lượt 2 file</t>
        </is>
      </c>
      <c r="H17" s="11" t="inlineStr">
        <is>
          <t>Cả 2 được chấp nhận</t>
        </is>
      </c>
      <c r="I17" s="11" t="inlineStr">
        <is>
          <t>P0</t>
        </is>
      </c>
      <c r="J17" s="11" t="inlineStr">
        <is>
          <t>Chức năng</t>
        </is>
      </c>
      <c r="K17" s="11" t="inlineStr"/>
      <c r="L17" s="11" t="inlineStr">
        <is>
          <t>Chưa chạy</t>
        </is>
      </c>
      <c r="M17" s="11" t="inlineStr"/>
      <c r="N17" s="11" t="inlineStr"/>
      <c r="O17" s="11" t="inlineStr"/>
      <c r="P17" s="11" t="inlineStr"/>
    </row>
    <row r="18">
      <c r="A18" s="11" t="inlineStr">
        <is>
          <t>TC-CAN03-003</t>
        </is>
      </c>
      <c r="B18" s="11" t="inlineStr">
        <is>
          <t>CAN-03</t>
        </is>
      </c>
      <c r="C18" s="11" t="inlineStr">
        <is>
          <t>Ứng viên</t>
        </is>
      </c>
      <c r="D18" s="11" t="inlineStr">
        <is>
          <t>CV sai định dạng</t>
        </is>
      </c>
      <c r="E18" s="11" t="inlineStr">
        <is>
          <t>uv1 đăng nhập</t>
        </is>
      </c>
      <c r="F18" s="11" t="inlineStr">
        <is>
          <t>cv.png; cv.txt</t>
        </is>
      </c>
      <c r="G18" s="11" t="inlineStr">
        <is>
          <t>1. Tải từng file</t>
        </is>
      </c>
      <c r="H18" s="11" t="inlineStr">
        <is>
          <t>Báo chỉ chấp nhận PDF/DOC/DOCX; không lưu</t>
        </is>
      </c>
      <c r="I18" s="11" t="inlineStr">
        <is>
          <t>P0</t>
        </is>
      </c>
      <c r="J18" s="11" t="inlineStr">
        <is>
          <t>Validate</t>
        </is>
      </c>
      <c r="K18" s="11" t="inlineStr"/>
      <c r="L18" s="11" t="inlineStr">
        <is>
          <t>Chưa chạy</t>
        </is>
      </c>
      <c r="M18" s="11" t="inlineStr"/>
      <c r="N18" s="11" t="inlineStr"/>
      <c r="O18" s="11" t="inlineStr"/>
      <c r="P18" s="11" t="inlineStr"/>
    </row>
    <row r="19">
      <c r="A19" s="11" t="inlineStr">
        <is>
          <t>TC-CAN03-004</t>
        </is>
      </c>
      <c r="B19" s="11" t="inlineStr">
        <is>
          <t>CAN-03</t>
        </is>
      </c>
      <c r="C19" s="11" t="inlineStr">
        <is>
          <t>Ứng viên</t>
        </is>
      </c>
      <c r="D19" s="11" t="inlineStr">
        <is>
          <t>File giả mạo đuôi .pdf</t>
        </is>
      </c>
      <c r="E19" s="11" t="inlineStr">
        <is>
          <t>uv1 đăng nhập</t>
        </is>
      </c>
      <c r="F19" s="11" t="inlineStr">
        <is>
          <t>file .exe đổi tên thành cv.pdf</t>
        </is>
      </c>
      <c r="G19" s="11" t="inlineStr">
        <is>
          <t>1. Tải file</t>
        </is>
      </c>
      <c r="H19" s="11" t="inlineStr">
        <is>
          <t>Bị từ chối (kiểm tra nội dung file)</t>
        </is>
      </c>
      <c r="I19" s="11" t="inlineStr">
        <is>
          <t>P0</t>
        </is>
      </c>
      <c r="J19" s="11" t="inlineStr">
        <is>
          <t>Bảo mật</t>
        </is>
      </c>
      <c r="K19" s="11" t="inlineStr"/>
      <c r="L19" s="11" t="inlineStr">
        <is>
          <t>Chưa chạy</t>
        </is>
      </c>
      <c r="M19" s="11" t="inlineStr"/>
      <c r="N19" s="11" t="inlineStr"/>
      <c r="O19" s="11" t="inlineStr"/>
      <c r="P19" s="11" t="inlineStr"/>
    </row>
    <row r="20">
      <c r="A20" s="11" t="inlineStr">
        <is>
          <t>TC-CAN03-005</t>
        </is>
      </c>
      <c r="B20" s="11" t="inlineStr">
        <is>
          <t>CAN-03</t>
        </is>
      </c>
      <c r="C20" s="11" t="inlineStr">
        <is>
          <t>Ứng viên</t>
        </is>
      </c>
      <c r="D20" s="11" t="inlineStr">
        <is>
          <t>CV đúng 5MB / 5,1MB</t>
        </is>
      </c>
      <c r="E20" s="11" t="inlineStr">
        <is>
          <t>uv1 đăng nhập; cấu hình mặc định 5MB</t>
        </is>
      </c>
      <c r="F20" s="11" t="inlineStr">
        <is>
          <t>PDF 5MB; PDF 5,1MB</t>
        </is>
      </c>
      <c r="G20" s="11" t="inlineStr">
        <is>
          <t>1. Tải file 5MB
2. Tải file 5,1MB</t>
        </is>
      </c>
      <c r="H20" s="11" t="inlineStr">
        <is>
          <t>5MB thành công; 5,1MB báo "File tối đa 5MB"</t>
        </is>
      </c>
      <c r="I20" s="11" t="inlineStr">
        <is>
          <t>P0</t>
        </is>
      </c>
      <c r="J20" s="11" t="inlineStr">
        <is>
          <t>Biên</t>
        </is>
      </c>
      <c r="K20" s="11" t="inlineStr"/>
      <c r="L20" s="11" t="inlineStr">
        <is>
          <t>Chưa chạy</t>
        </is>
      </c>
      <c r="M20" s="11" t="inlineStr"/>
      <c r="N20" s="11" t="inlineStr"/>
      <c r="O20" s="11" t="inlineStr"/>
      <c r="P20" s="11" t="inlineStr"/>
    </row>
    <row r="21">
      <c r="A21" s="11" t="inlineStr">
        <is>
          <t>TC-CAN03-006</t>
        </is>
      </c>
      <c r="B21" s="11" t="inlineStr">
        <is>
          <t>CAN-03</t>
        </is>
      </c>
      <c r="C21" s="11" t="inlineStr">
        <is>
          <t>Ứng viên</t>
        </is>
      </c>
      <c r="D21" s="11" t="inlineStr">
        <is>
          <t>Giới hạn 5 CV</t>
        </is>
      </c>
      <c r="E21" s="11" t="inlineStr">
        <is>
          <t>uv1 đã có 5 CV</t>
        </is>
      </c>
      <c r="F21" s="11" t="inlineStr">
        <is>
          <t>cv6.pdf</t>
        </is>
      </c>
      <c r="G21" s="11" t="inlineStr">
        <is>
          <t>1. Tải CV thứ 6</t>
        </is>
      </c>
      <c r="H21" s="11" t="inlineStr">
        <is>
          <t>Báo "Bạn chỉ được lưu tối đa 5 CV"</t>
        </is>
      </c>
      <c r="I21" s="11" t="inlineStr">
        <is>
          <t>P0</t>
        </is>
      </c>
      <c r="J21" s="11" t="inlineStr">
        <is>
          <t>Biên</t>
        </is>
      </c>
      <c r="K21" s="11" t="inlineStr"/>
      <c r="L21" s="11" t="inlineStr">
        <is>
          <t>Chưa chạy</t>
        </is>
      </c>
      <c r="M21" s="11" t="inlineStr"/>
      <c r="N21" s="11" t="inlineStr"/>
      <c r="O21" s="11" t="inlineStr"/>
      <c r="P21" s="11" t="inlineStr"/>
    </row>
    <row r="22">
      <c r="A22" s="11" t="inlineStr">
        <is>
          <t>TC-CAN03-007</t>
        </is>
      </c>
      <c r="B22" s="11" t="inlineStr">
        <is>
          <t>CAN-03</t>
        </is>
      </c>
      <c r="C22" s="11" t="inlineStr">
        <is>
          <t>Ứng viên</t>
        </is>
      </c>
      <c r="D22" s="11" t="inlineStr">
        <is>
          <t>Đặt CV mặc định</t>
        </is>
      </c>
      <c r="E22" s="11" t="inlineStr">
        <is>
          <t>uv1 có ≥ 2 CV</t>
        </is>
      </c>
      <c r="F22" s="11" t="inlineStr">
        <is>
          <t>–</t>
        </is>
      </c>
      <c r="G22" s="11" t="inlineStr">
        <is>
          <t>1. Bấm Đặt mặc định ở CV thứ 2
2. Mở form ứng tuyển</t>
        </is>
      </c>
      <c r="H22" s="11" t="inlineStr">
        <is>
          <t>CV thứ 2 có nhãn Mặc định và được chọn sẵn khi ứng tuyển</t>
        </is>
      </c>
      <c r="I22" s="11" t="inlineStr">
        <is>
          <t>P1</t>
        </is>
      </c>
      <c r="J22" s="11" t="inlineStr">
        <is>
          <t>Chức năng</t>
        </is>
      </c>
      <c r="K22" s="11" t="inlineStr"/>
      <c r="L22" s="11" t="inlineStr">
        <is>
          <t>Chưa chạy</t>
        </is>
      </c>
      <c r="M22" s="11" t="inlineStr"/>
      <c r="N22" s="11" t="inlineStr"/>
      <c r="O22" s="11" t="inlineStr"/>
      <c r="P22" s="11" t="inlineStr"/>
    </row>
    <row r="23">
      <c r="A23" s="11" t="inlineStr">
        <is>
          <t>TC-CAN03-008</t>
        </is>
      </c>
      <c r="B23" s="11" t="inlineStr">
        <is>
          <t>CAN-03</t>
        </is>
      </c>
      <c r="C23" s="11" t="inlineStr">
        <is>
          <t>Ứng viên</t>
        </is>
      </c>
      <c r="D23" s="11" t="inlineStr">
        <is>
          <t>Xem / tải CV của mình</t>
        </is>
      </c>
      <c r="E23" s="11" t="inlineStr">
        <is>
          <t>uv1 có CV</t>
        </is>
      </c>
      <c r="F23" s="11" t="inlineStr">
        <is>
          <t>–</t>
        </is>
      </c>
      <c r="G23" s="11" t="inlineStr">
        <is>
          <t>1. Bấm Xem
2. Bấm Tải</t>
        </is>
      </c>
      <c r="H23" s="11" t="inlineStr">
        <is>
          <t>Mở/tải đúng file</t>
        </is>
      </c>
      <c r="I23" s="11" t="inlineStr">
        <is>
          <t>P0</t>
        </is>
      </c>
      <c r="J23" s="11" t="inlineStr">
        <is>
          <t>Chức năng</t>
        </is>
      </c>
      <c r="K23" s="11" t="inlineStr"/>
      <c r="L23" s="11" t="inlineStr">
        <is>
          <t>Chưa chạy</t>
        </is>
      </c>
      <c r="M23" s="11" t="inlineStr"/>
      <c r="N23" s="11" t="inlineStr"/>
      <c r="O23" s="11" t="inlineStr"/>
      <c r="P23" s="11" t="inlineStr"/>
    </row>
    <row r="24">
      <c r="A24" s="11" t="inlineStr">
        <is>
          <t>TC-CAN03-009</t>
        </is>
      </c>
      <c r="B24" s="11" t="inlineStr">
        <is>
          <t>CAN-03</t>
        </is>
      </c>
      <c r="C24" s="11" t="inlineStr">
        <is>
          <t>Ứng viên</t>
        </is>
      </c>
      <c r="D24" s="11" t="inlineStr">
        <is>
          <t>Xóa CV</t>
        </is>
      </c>
      <c r="E24" s="11" t="inlineStr">
        <is>
          <t>uv1 có CV không dùng</t>
        </is>
      </c>
      <c r="F24" s="11" t="inlineStr">
        <is>
          <t>–</t>
        </is>
      </c>
      <c r="G24" s="11" t="inlineStr">
        <is>
          <t>1. Bấm Xóa → xác nhận</t>
        </is>
      </c>
      <c r="H24" s="11" t="inlineStr">
        <is>
          <t>CV biến mất khỏi danh sách</t>
        </is>
      </c>
      <c r="I24" s="11" t="inlineStr">
        <is>
          <t>P0</t>
        </is>
      </c>
      <c r="J24" s="11" t="inlineStr">
        <is>
          <t>Chức năng</t>
        </is>
      </c>
      <c r="K24" s="11" t="inlineStr"/>
      <c r="L24" s="11" t="inlineStr">
        <is>
          <t>Chưa chạy</t>
        </is>
      </c>
      <c r="M24" s="11" t="inlineStr"/>
      <c r="N24" s="11" t="inlineStr"/>
      <c r="O24" s="11" t="inlineStr"/>
      <c r="P24" s="11" t="inlineStr"/>
    </row>
    <row r="25">
      <c r="A25" s="11" t="inlineStr">
        <is>
          <t>TC-CAN03-010</t>
        </is>
      </c>
      <c r="B25" s="11" t="inlineStr">
        <is>
          <t>CAN-03</t>
        </is>
      </c>
      <c r="C25" s="11" t="inlineStr">
        <is>
          <t>Ứng viên</t>
        </is>
      </c>
      <c r="D25" s="11" t="inlineStr">
        <is>
          <t>Cấu hình admin thay đổi giới hạn CV</t>
        </is>
      </c>
      <c r="E25" s="11" t="inlineStr">
        <is>
          <t>Admin đổi "Số CV / ứng viên" = 2</t>
        </is>
      </c>
      <c r="F25" s="11" t="inlineStr">
        <is>
          <t>–</t>
        </is>
      </c>
      <c r="G25" s="11" t="inlineStr">
        <is>
          <t>1. Admin lưu cấu hình
2. uv2 (đã có 2 CV) tải CV thứ 3</t>
        </is>
      </c>
      <c r="H25" s="11" t="inlineStr">
        <is>
          <t>Báo tối đa 2 CV (cấu hình có hiệu lực không cần sửa code)</t>
        </is>
      </c>
      <c r="I25" s="11" t="inlineStr">
        <is>
          <t>P1</t>
        </is>
      </c>
      <c r="J25" s="11" t="inlineStr">
        <is>
          <t>Chức năng</t>
        </is>
      </c>
      <c r="K25" s="11" t="inlineStr"/>
      <c r="L25" s="11" t="inlineStr">
        <is>
          <t>Chưa chạy</t>
        </is>
      </c>
      <c r="M25" s="11" t="inlineStr"/>
      <c r="N25" s="11" t="inlineStr"/>
      <c r="O25" s="11" t="inlineStr"/>
      <c r="P25" s="11" t="inlineStr"/>
    </row>
    <row r="26">
      <c r="A26" s="11" t="inlineStr">
        <is>
          <t>TC-CAN04-001</t>
        </is>
      </c>
      <c r="B26" s="11" t="inlineStr">
        <is>
          <t>CAN-04</t>
        </is>
      </c>
      <c r="C26" s="11" t="inlineStr">
        <is>
          <t>Ứng viên</t>
        </is>
      </c>
      <c r="D26" s="11" t="inlineStr">
        <is>
          <t>Bật "Cho phép NTD tìm thấy hồ sơ"</t>
        </is>
      </c>
      <c r="E26" s="11" t="inlineStr">
        <is>
          <t>uv1 đang tắt</t>
        </is>
      </c>
      <c r="F26" s="11" t="inlineStr">
        <is>
          <t>–</t>
        </is>
      </c>
      <c r="G26" s="11" t="inlineStr">
        <is>
          <t>1. Bật công tắc
2. ntd1 tìm theo kỹ năng của uv1 ở /employer/candidates</t>
        </is>
      </c>
      <c r="H26" s="11" t="inlineStr">
        <is>
          <t>uv1 xuất hiện trong kết quả</t>
        </is>
      </c>
      <c r="I26" s="11" t="inlineStr">
        <is>
          <t>P1</t>
        </is>
      </c>
      <c r="J26" s="11" t="inlineStr">
        <is>
          <t>Chức năng</t>
        </is>
      </c>
      <c r="K26" s="11" t="inlineStr"/>
      <c r="L26" s="11" t="inlineStr">
        <is>
          <t>Chưa chạy</t>
        </is>
      </c>
      <c r="M26" s="11" t="inlineStr"/>
      <c r="N26" s="11" t="inlineStr"/>
      <c r="O26" s="11" t="inlineStr"/>
      <c r="P26" s="11" t="inlineStr"/>
    </row>
    <row r="27">
      <c r="A27" s="11" t="inlineStr">
        <is>
          <t>TC-CAN04-002</t>
        </is>
      </c>
      <c r="B27" s="11" t="inlineStr">
        <is>
          <t>CAN-04</t>
        </is>
      </c>
      <c r="C27" s="11" t="inlineStr">
        <is>
          <t>Ứng viên</t>
        </is>
      </c>
      <c r="D27" s="11" t="inlineStr">
        <is>
          <t>Tắt thì NTD không tìm thấy</t>
        </is>
      </c>
      <c r="E27" s="11" t="inlineStr">
        <is>
          <t>uv1 đang bật</t>
        </is>
      </c>
      <c r="F27" s="11" t="inlineStr">
        <is>
          <t>–</t>
        </is>
      </c>
      <c r="G27" s="11" t="inlineStr">
        <is>
          <t>1. Tắt công tắc
2. ntd1 tìm lại
3. ntd1 mở URL chi tiết hồ sơ uv1 đã lưu trước đó</t>
        </is>
      </c>
      <c r="H27" s="11" t="inlineStr">
        <is>
          <t>uv1 không còn trong kết quả; mở chi tiết trả 404</t>
        </is>
      </c>
      <c r="I27" s="11" t="inlineStr">
        <is>
          <t>P0</t>
        </is>
      </c>
      <c r="J27" s="11" t="inlineStr">
        <is>
          <t>Bảo mật</t>
        </is>
      </c>
      <c r="K27" s="11" t="inlineStr"/>
      <c r="L27" s="11" t="inlineStr">
        <is>
          <t>Chưa chạy</t>
        </is>
      </c>
      <c r="M27" s="11" t="inlineStr"/>
      <c r="N27" s="11" t="inlineStr"/>
      <c r="O27" s="11" t="inlineStr"/>
      <c r="P27" s="11" t="inlineStr"/>
    </row>
    <row r="28">
      <c r="A28" s="11" t="inlineStr">
        <is>
          <t>TC-CAN05-001</t>
        </is>
      </c>
      <c r="B28" s="11" t="inlineStr">
        <is>
          <t>CAN-05</t>
        </is>
      </c>
      <c r="C28" s="11" t="inlineStr">
        <is>
          <t>Ứng viên</t>
        </is>
      </c>
      <c r="D28" s="11" t="inlineStr">
        <is>
          <t>Tìm theo từ khóa chức danh</t>
        </is>
      </c>
      <c r="E28" s="11" t="inlineStr">
        <is>
          <t>Có tin "Lập trình viên ReactJS" đang hiển thị</t>
        </is>
      </c>
      <c r="F28" s="11" t="inlineStr">
        <is>
          <t>Từ khóa: ReactJS</t>
        </is>
      </c>
      <c r="G28" s="11" t="inlineStr">
        <is>
          <t>1. Mở /jobs
2. Nhập từ khóa
3. Tìm</t>
        </is>
      </c>
      <c r="H28" s="11" t="inlineStr">
        <is>
          <t>Kết quả có tin liên quan; số lượng kết quả hiển thị</t>
        </is>
      </c>
      <c r="I28" s="11" t="inlineStr">
        <is>
          <t>P0</t>
        </is>
      </c>
      <c r="J28" s="11" t="inlineStr">
        <is>
          <t>Chức năng</t>
        </is>
      </c>
      <c r="K28" s="11" t="inlineStr"/>
      <c r="L28" s="11" t="inlineStr">
        <is>
          <t>Chưa chạy</t>
        </is>
      </c>
      <c r="M28" s="11" t="inlineStr"/>
      <c r="N28" s="11" t="inlineStr"/>
      <c r="O28" s="11" t="inlineStr"/>
      <c r="P28" s="11" t="inlineStr"/>
    </row>
    <row r="29">
      <c r="A29" s="11" t="inlineStr">
        <is>
          <t>TC-CAN05-002</t>
        </is>
      </c>
      <c r="B29" s="11" t="inlineStr">
        <is>
          <t>CAN-05</t>
        </is>
      </c>
      <c r="C29" s="11" t="inlineStr">
        <is>
          <t>Ứng viên</t>
        </is>
      </c>
      <c r="D29" s="11" t="inlineStr">
        <is>
          <t>Tìm theo tên công ty và kỹ năng</t>
        </is>
      </c>
      <c r="E29" s="11" t="inlineStr">
        <is>
          <t>Có dữ liệu demo</t>
        </is>
      </c>
      <c r="F29" s="11" t="inlineStr">
        <is>
          <t>Từ khóa: Sao Việt; TypeScript</t>
        </is>
      </c>
      <c r="G29" s="11" t="inlineStr">
        <is>
          <t>1. Tìm lần lượt 2 từ khóa</t>
        </is>
      </c>
      <c r="H29" s="11" t="inlineStr">
        <is>
          <t>Ra tin của công ty / tin yêu cầu kỹ năng đó</t>
        </is>
      </c>
      <c r="I29" s="11" t="inlineStr">
        <is>
          <t>P1</t>
        </is>
      </c>
      <c r="J29" s="11" t="inlineStr">
        <is>
          <t>Chức năng</t>
        </is>
      </c>
      <c r="K29" s="11" t="inlineStr"/>
      <c r="L29" s="11" t="inlineStr">
        <is>
          <t>Chưa chạy</t>
        </is>
      </c>
      <c r="M29" s="11" t="inlineStr"/>
      <c r="N29" s="11" t="inlineStr"/>
      <c r="O29" s="11" t="inlineStr"/>
      <c r="P29" s="11" t="inlineStr"/>
    </row>
    <row r="30">
      <c r="A30" s="11" t="inlineStr">
        <is>
          <t>TC-CAN05-003</t>
        </is>
      </c>
      <c r="B30" s="11" t="inlineStr">
        <is>
          <t>CAN-05</t>
        </is>
      </c>
      <c r="C30" s="11" t="inlineStr">
        <is>
          <t>Ứng viên</t>
        </is>
      </c>
      <c r="D30" s="11" t="inlineStr">
        <is>
          <t>Tìm không dấu</t>
        </is>
      </c>
      <c r="E30" s="11" t="inlineStr">
        <is>
          <t>Có tin "Kế toán tổng hợp"</t>
        </is>
      </c>
      <c r="F30" s="11" t="inlineStr">
        <is>
          <t>Từ khóa: ke toan</t>
        </is>
      </c>
      <c r="G30" s="11" t="inlineStr">
        <is>
          <t>1. Tìm từ khóa không dấu</t>
        </is>
      </c>
      <c r="H30" s="11" t="inlineStr">
        <is>
          <t>Ra tin Kế toán (nếu hệ thống hỗ trợ); nếu không, ghi nhận để PO quyết định</t>
        </is>
      </c>
      <c r="I30" s="11" t="inlineStr">
        <is>
          <t>P1</t>
        </is>
      </c>
      <c r="J30" s="11" t="inlineStr">
        <is>
          <t>Chức năng</t>
        </is>
      </c>
      <c r="K30" s="11" t="inlineStr"/>
      <c r="L30" s="11" t="inlineStr">
        <is>
          <t>Chưa chạy</t>
        </is>
      </c>
      <c r="M30" s="11" t="inlineStr"/>
      <c r="N30" s="11" t="inlineStr"/>
      <c r="O30" s="11" t="inlineStr"/>
      <c r="P30" s="11" t="inlineStr"/>
    </row>
    <row r="31">
      <c r="A31" s="11" t="inlineStr">
        <is>
          <t>TC-CAN05-004</t>
        </is>
      </c>
      <c r="B31" s="11" t="inlineStr">
        <is>
          <t>CAN-05</t>
        </is>
      </c>
      <c r="C31" s="11" t="inlineStr">
        <is>
          <t>Ứng viên</t>
        </is>
      </c>
      <c r="D31" s="11" t="inlineStr">
        <is>
          <t>Lọc theo địa điểm</t>
        </is>
      </c>
      <c r="E31" s="11" t="inlineStr">
        <is>
          <t>Có tin ở nhiều tỉnh</t>
        </is>
      </c>
      <c r="F31" s="11" t="inlineStr">
        <is>
          <t>Địa điểm: Hà Nội</t>
        </is>
      </c>
      <c r="G31" s="11" t="inlineStr">
        <is>
          <t>1. Chọn bộ lọc Hà Nội</t>
        </is>
      </c>
      <c r="H31" s="11" t="inlineStr">
        <is>
          <t>Chỉ hiện tin ở Hà Nội (và làm từ xa nếu thiết kế vậy)</t>
        </is>
      </c>
      <c r="I31" s="11" t="inlineStr">
        <is>
          <t>P0</t>
        </is>
      </c>
      <c r="J31" s="11" t="inlineStr">
        <is>
          <t>Chức năng</t>
        </is>
      </c>
      <c r="K31" s="11" t="inlineStr"/>
      <c r="L31" s="11" t="inlineStr">
        <is>
          <t>Chưa chạy</t>
        </is>
      </c>
      <c r="M31" s="11" t="inlineStr"/>
      <c r="N31" s="11" t="inlineStr"/>
      <c r="O31" s="11" t="inlineStr"/>
      <c r="P31" s="11" t="inlineStr"/>
    </row>
    <row r="32">
      <c r="A32" s="11" t="inlineStr">
        <is>
          <t>TC-CAN05-005</t>
        </is>
      </c>
      <c r="B32" s="11" t="inlineStr">
        <is>
          <t>CAN-05</t>
        </is>
      </c>
      <c r="C32" s="11" t="inlineStr">
        <is>
          <t>Ứng viên</t>
        </is>
      </c>
      <c r="D32" s="11" t="inlineStr">
        <is>
          <t>Lọc theo ngành, loại hình, cấp bậc, kinh nghiệm</t>
        </is>
      </c>
      <c r="E32" s="11" t="inlineStr">
        <is>
          <t>Có dữ liệu demo</t>
        </is>
      </c>
      <c r="F32" s="11" t="inlineStr">
        <is>
          <t>Ngành CNTT; Toàn thời gian; Nhân viên; 1–3 năm</t>
        </is>
      </c>
      <c r="G32" s="11" t="inlineStr">
        <is>
          <t>1. Chọn từng bộ lọc rồi kết hợp</t>
        </is>
      </c>
      <c r="H32" s="11" t="inlineStr">
        <is>
          <t>Kết quả thỏa tất cả điều kiện đã chọn</t>
        </is>
      </c>
      <c r="I32" s="11" t="inlineStr">
        <is>
          <t>P0</t>
        </is>
      </c>
      <c r="J32" s="11" t="inlineStr">
        <is>
          <t>Chức năng</t>
        </is>
      </c>
      <c r="K32" s="11" t="inlineStr"/>
      <c r="L32" s="11" t="inlineStr">
        <is>
          <t>Chưa chạy</t>
        </is>
      </c>
      <c r="M32" s="11" t="inlineStr"/>
      <c r="N32" s="11" t="inlineStr"/>
      <c r="O32" s="11" t="inlineStr"/>
      <c r="P32" s="11" t="inlineStr"/>
    </row>
    <row r="33">
      <c r="A33" s="11" t="inlineStr">
        <is>
          <t>TC-CAN05-006</t>
        </is>
      </c>
      <c r="B33" s="11" t="inlineStr">
        <is>
          <t>CAN-05</t>
        </is>
      </c>
      <c r="C33" s="11" t="inlineStr">
        <is>
          <t>Ứng viên</t>
        </is>
      </c>
      <c r="D33" s="11" t="inlineStr">
        <is>
          <t>Lọc theo mức lương</t>
        </is>
      </c>
      <c r="E33" s="11" t="inlineStr">
        <is>
          <t>Có tin lương khoảng và thỏa thuận</t>
        </is>
      </c>
      <c r="F33" s="11" t="inlineStr">
        <is>
          <t>Lương: 15–25 triệu</t>
        </is>
      </c>
      <c r="G33" s="11" t="inlineStr">
        <is>
          <t>1. Chọn khoảng lương</t>
        </is>
      </c>
      <c r="H33" s="11" t="inlineStr">
        <is>
          <t>Chỉ hiện tin có khoảng lương giao với khoảng đã chọn</t>
        </is>
      </c>
      <c r="I33" s="11" t="inlineStr">
        <is>
          <t>P0</t>
        </is>
      </c>
      <c r="J33" s="11" t="inlineStr">
        <is>
          <t>Chức năng</t>
        </is>
      </c>
      <c r="K33" s="11" t="inlineStr"/>
      <c r="L33" s="11" t="inlineStr">
        <is>
          <t>Chưa chạy</t>
        </is>
      </c>
      <c r="M33" s="11" t="inlineStr"/>
      <c r="N33" s="11" t="inlineStr"/>
      <c r="O33" s="11" t="inlineStr"/>
      <c r="P33" s="11" t="inlineStr"/>
    </row>
    <row r="34">
      <c r="A34" s="11" t="inlineStr">
        <is>
          <t>TC-CAN05-007</t>
        </is>
      </c>
      <c r="B34" s="11" t="inlineStr">
        <is>
          <t>CAN-05</t>
        </is>
      </c>
      <c r="C34" s="11" t="inlineStr">
        <is>
          <t>Ứng viên</t>
        </is>
      </c>
      <c r="D34" s="11" t="inlineStr">
        <is>
          <t>Sắp xếp mới nhất / lương / phù hợp</t>
        </is>
      </c>
      <c r="E34" s="11" t="inlineStr">
        <is>
          <t>Có ≥ 5 tin</t>
        </is>
      </c>
      <c r="F34" s="11" t="inlineStr">
        <is>
          <t>–</t>
        </is>
      </c>
      <c r="G34" s="11" t="inlineStr">
        <is>
          <t>1. Đổi lần lượt các kiểu sắp xếp</t>
        </is>
      </c>
      <c r="H34" s="11" t="inlineStr">
        <is>
          <t>Thứ tự kết quả thay đổi đúng tiêu chí</t>
        </is>
      </c>
      <c r="I34" s="11" t="inlineStr">
        <is>
          <t>P1</t>
        </is>
      </c>
      <c r="J34" s="11" t="inlineStr">
        <is>
          <t>Chức năng</t>
        </is>
      </c>
      <c r="K34" s="11" t="inlineStr"/>
      <c r="L34" s="11" t="inlineStr">
        <is>
          <t>Chưa chạy</t>
        </is>
      </c>
      <c r="M34" s="11" t="inlineStr"/>
      <c r="N34" s="11" t="inlineStr"/>
      <c r="O34" s="11" t="inlineStr"/>
      <c r="P34" s="11" t="inlineStr"/>
    </row>
    <row r="35">
      <c r="A35" s="11" t="inlineStr">
        <is>
          <t>TC-CAN05-008</t>
        </is>
      </c>
      <c r="B35" s="11" t="inlineStr">
        <is>
          <t>CAN-05</t>
        </is>
      </c>
      <c r="C35" s="11" t="inlineStr">
        <is>
          <t>Ứng viên</t>
        </is>
      </c>
      <c r="D35" s="11" t="inlineStr">
        <is>
          <t>Phân trang</t>
        </is>
      </c>
      <c r="E35" s="11" t="inlineStr">
        <is>
          <t>Có &gt; 1 trang kết quả</t>
        </is>
      </c>
      <c r="F35" s="11" t="inlineStr">
        <is>
          <t>–</t>
        </is>
      </c>
      <c r="G35" s="11" t="inlineStr">
        <is>
          <t>1. Bấm trang 2
2. Bấm Back</t>
        </is>
      </c>
      <c r="H35" s="11" t="inlineStr">
        <is>
          <t>Trang 2 hiện tin khác trang 1; Back quay lại trang 1</t>
        </is>
      </c>
      <c r="I35" s="11" t="inlineStr">
        <is>
          <t>P1</t>
        </is>
      </c>
      <c r="J35" s="11" t="inlineStr">
        <is>
          <t>Chức năng</t>
        </is>
      </c>
      <c r="K35" s="11" t="inlineStr"/>
      <c r="L35" s="11" t="inlineStr">
        <is>
          <t>Chưa chạy</t>
        </is>
      </c>
      <c r="M35" s="11" t="inlineStr"/>
      <c r="N35" s="11" t="inlineStr"/>
      <c r="O35" s="11" t="inlineStr"/>
      <c r="P35" s="11" t="inlineStr"/>
    </row>
    <row r="36">
      <c r="A36" s="11" t="inlineStr">
        <is>
          <t>TC-CAN05-009</t>
        </is>
      </c>
      <c r="B36" s="11" t="inlineStr">
        <is>
          <t>CAN-05</t>
        </is>
      </c>
      <c r="C36" s="11" t="inlineStr">
        <is>
          <t>Ứng viên</t>
        </is>
      </c>
      <c r="D36" s="11" t="inlineStr">
        <is>
          <t>Bộ lọc lưu trên URL</t>
        </is>
      </c>
      <c r="E36" s="11" t="inlineStr">
        <is>
          <t>–</t>
        </is>
      </c>
      <c r="F36" s="11" t="inlineStr">
        <is>
          <t>–</t>
        </is>
      </c>
      <c r="G36" s="11" t="inlineStr">
        <is>
          <t>1. Chọn từ khóa + 2 bộ lọc
2. Sao chép URL, mở ở tab mới</t>
        </is>
      </c>
      <c r="H36" s="11" t="inlineStr">
        <is>
          <t>Tab mới hiện đúng bộ lọc và kết quả</t>
        </is>
      </c>
      <c r="I36" s="11" t="inlineStr">
        <is>
          <t>P1</t>
        </is>
      </c>
      <c r="J36" s="11" t="inlineStr">
        <is>
          <t>Chức năng</t>
        </is>
      </c>
      <c r="K36" s="11" t="inlineStr"/>
      <c r="L36" s="11" t="inlineStr">
        <is>
          <t>Chưa chạy</t>
        </is>
      </c>
      <c r="M36" s="11" t="inlineStr"/>
      <c r="N36" s="11" t="inlineStr"/>
      <c r="O36" s="11" t="inlineStr"/>
      <c r="P36" s="11" t="inlineStr"/>
    </row>
    <row r="37">
      <c r="A37" s="11" t="inlineStr">
        <is>
          <t>TC-CAN05-010</t>
        </is>
      </c>
      <c r="B37" s="11" t="inlineStr">
        <is>
          <t>CAN-05</t>
        </is>
      </c>
      <c r="C37" s="11" t="inlineStr">
        <is>
          <t>Ứng viên</t>
        </is>
      </c>
      <c r="D37" s="11" t="inlineStr">
        <is>
          <t>Không có kết quả</t>
        </is>
      </c>
      <c r="E37" s="11" t="inlineStr">
        <is>
          <t>–</t>
        </is>
      </c>
      <c r="F37" s="11" t="inlineStr">
        <is>
          <t>Từ khóa: zzzqqq</t>
        </is>
      </c>
      <c r="G37" s="11" t="inlineStr">
        <is>
          <t>1. Tìm từ khóa vô nghĩa</t>
        </is>
      </c>
      <c r="H37" s="11" t="inlineStr">
        <is>
          <t>Hiện trạng thái trống có gợi ý (bỏ bớt bộ lọc…)</t>
        </is>
      </c>
      <c r="I37" s="11" t="inlineStr">
        <is>
          <t>P1</t>
        </is>
      </c>
      <c r="J37" s="11" t="inlineStr">
        <is>
          <t>Chức năng</t>
        </is>
      </c>
      <c r="K37" s="11" t="inlineStr"/>
      <c r="L37" s="11" t="inlineStr">
        <is>
          <t>Chưa chạy</t>
        </is>
      </c>
      <c r="M37" s="11" t="inlineStr"/>
      <c r="N37" s="11" t="inlineStr"/>
      <c r="O37" s="11" t="inlineStr"/>
      <c r="P37" s="11" t="inlineStr"/>
    </row>
    <row r="38">
      <c r="A38" s="11" t="inlineStr">
        <is>
          <t>TC-CAN05-011</t>
        </is>
      </c>
      <c r="B38" s="11" t="inlineStr">
        <is>
          <t>CAN-05</t>
        </is>
      </c>
      <c r="C38" s="11" t="inlineStr">
        <is>
          <t>Ứng viên</t>
        </is>
      </c>
      <c r="D38" s="11" t="inlineStr">
        <is>
          <t>Tin hết hạn / chưa duyệt / đã đóng không xuất hiện</t>
        </is>
      </c>
      <c r="E38" s="11" t="inlineStr">
        <is>
          <t>Có tin DRAFT, PENDING, CLOSED, EXPIRED</t>
        </is>
      </c>
      <c r="F38" s="11" t="inlineStr">
        <is>
          <t>–</t>
        </is>
      </c>
      <c r="G38" s="11" t="inlineStr">
        <is>
          <t>1. Tìm theo chức danh của từng tin</t>
        </is>
      </c>
      <c r="H38" s="11" t="inlineStr">
        <is>
          <t>Không tin nào trong 4 tin trên xuất hiện</t>
        </is>
      </c>
      <c r="I38" s="11" t="inlineStr">
        <is>
          <t>P0</t>
        </is>
      </c>
      <c r="J38" s="11" t="inlineStr">
        <is>
          <t>Trạng thái</t>
        </is>
      </c>
      <c r="K38" s="11" t="inlineStr"/>
      <c r="L38" s="11" t="inlineStr">
        <is>
          <t>Chưa chạy</t>
        </is>
      </c>
      <c r="M38" s="11" t="inlineStr"/>
      <c r="N38" s="11" t="inlineStr"/>
      <c r="O38" s="11" t="inlineStr"/>
      <c r="P38" s="11" t="inlineStr"/>
    </row>
    <row r="39">
      <c r="A39" s="11" t="inlineStr">
        <is>
          <t>TC-CAN05-012</t>
        </is>
      </c>
      <c r="B39" s="11" t="inlineStr">
        <is>
          <t>CAN-05</t>
        </is>
      </c>
      <c r="C39" s="11" t="inlineStr">
        <is>
          <t>Ứng viên</t>
        </is>
      </c>
      <c r="D39" s="11" t="inlineStr">
        <is>
          <t>Ký tự đặc biệt trong ô tìm kiếm</t>
        </is>
      </c>
      <c r="E39" s="11" t="inlineStr">
        <is>
          <t>–</t>
        </is>
      </c>
      <c r="F39" s="11" t="inlineStr">
        <is>
          <t>Từ khóa: ' OR 1=1 -- ; &lt;script&gt;alert(1)&lt;/script&gt; ; %</t>
        </is>
      </c>
      <c r="G39" s="11" t="inlineStr">
        <is>
          <t>1. Tìm lần lượt</t>
        </is>
      </c>
      <c r="H39" s="11" t="inlineStr">
        <is>
          <t>Không lỗi 500, không chạy script; kết quả rỗng hoặc hợp lệ</t>
        </is>
      </c>
      <c r="I39" s="11" t="inlineStr">
        <is>
          <t>P1</t>
        </is>
      </c>
      <c r="J39" s="11" t="inlineStr">
        <is>
          <t>Bảo mật</t>
        </is>
      </c>
      <c r="K39" s="11" t="inlineStr"/>
      <c r="L39" s="11" t="inlineStr">
        <is>
          <t>Chưa chạy</t>
        </is>
      </c>
      <c r="M39" s="11" t="inlineStr"/>
      <c r="N39" s="11" t="inlineStr"/>
      <c r="O39" s="11" t="inlineStr"/>
      <c r="P39" s="11" t="inlineStr"/>
    </row>
    <row r="40">
      <c r="A40" s="11" t="inlineStr">
        <is>
          <t>TC-CAN06-001</t>
        </is>
      </c>
      <c r="B40" s="11" t="inlineStr">
        <is>
          <t>CAN-06</t>
        </is>
      </c>
      <c r="C40" s="11" t="inlineStr">
        <is>
          <t>Ứng viên</t>
        </is>
      </c>
      <c r="D40" s="11" t="inlineStr">
        <is>
          <t>Xem chi tiết việc làm</t>
        </is>
      </c>
      <c r="E40" s="11" t="inlineStr">
        <is>
          <t>Có tin đang hiển thị</t>
        </is>
      </c>
      <c r="F40" s="11" t="inlineStr">
        <is>
          <t>–</t>
        </is>
      </c>
      <c r="G40" s="11" t="inlineStr">
        <is>
          <t>1. Bấm vào 1 tin ở /jobs</t>
        </is>
      </c>
      <c r="H40" s="11" t="inlineStr">
        <is>
          <t>Hiện đủ: chức danh, công ty, lương, địa điểm, hạn nộp, mô tả/yêu cầu/quyền lợi có định dạng, cảnh báo lừa đảo</t>
        </is>
      </c>
      <c r="I40" s="11" t="inlineStr">
        <is>
          <t>P0</t>
        </is>
      </c>
      <c r="J40" s="11" t="inlineStr">
        <is>
          <t>Chức năng</t>
        </is>
      </c>
      <c r="K40" s="11" t="inlineStr"/>
      <c r="L40" s="11" t="inlineStr">
        <is>
          <t>Chưa chạy</t>
        </is>
      </c>
      <c r="M40" s="11" t="inlineStr"/>
      <c r="N40" s="11" t="inlineStr"/>
      <c r="O40" s="11" t="inlineStr"/>
      <c r="P40" s="11" t="inlineStr"/>
    </row>
    <row r="41">
      <c r="A41" s="11" t="inlineStr">
        <is>
          <t>TC-CAN06-002</t>
        </is>
      </c>
      <c r="B41" s="11" t="inlineStr">
        <is>
          <t>CAN-06</t>
        </is>
      </c>
      <c r="C41" s="11" t="inlineStr">
        <is>
          <t>Ứng viên</t>
        </is>
      </c>
      <c r="D41" s="11" t="inlineStr">
        <is>
          <t>Việc làm tương tự ưu tiên cùng tỉnh</t>
        </is>
      </c>
      <c r="E41" s="11" t="inlineStr">
        <is>
          <t>Có ≥ 3 tin cùng ngành, khác tỉnh</t>
        </is>
      </c>
      <c r="F41" s="11" t="inlineStr">
        <is>
          <t>–</t>
        </is>
      </c>
      <c r="G41" s="11" t="inlineStr">
        <is>
          <t>1. Mở chi tiết tin ở Hà Nội
2. Xem mục Việc tương tự</t>
        </is>
      </c>
      <c r="H41" s="11" t="inlineStr">
        <is>
          <t>Hiện tin tương tự, tin cùng tỉnh đứng trước; không có chính tin đang xem</t>
        </is>
      </c>
      <c r="I41" s="11" t="inlineStr">
        <is>
          <t>P1</t>
        </is>
      </c>
      <c r="J41" s="11" t="inlineStr">
        <is>
          <t>Chức năng</t>
        </is>
      </c>
      <c r="K41" s="11" t="inlineStr"/>
      <c r="L41" s="11" t="inlineStr">
        <is>
          <t>Chưa chạy</t>
        </is>
      </c>
      <c r="M41" s="11" t="inlineStr"/>
      <c r="N41" s="11" t="inlineStr"/>
      <c r="O41" s="11" t="inlineStr"/>
      <c r="P41" s="11" t="inlineStr"/>
    </row>
    <row r="42">
      <c r="A42" s="11" t="inlineStr">
        <is>
          <t>TC-CAN06-003</t>
        </is>
      </c>
      <c r="B42" s="11" t="inlineStr">
        <is>
          <t>CAN-06</t>
        </is>
      </c>
      <c r="C42" s="11" t="inlineStr">
        <is>
          <t>Ứng viên</t>
        </is>
      </c>
      <c r="D42" s="11" t="inlineStr">
        <is>
          <t>Mở tin không còn hiển thị</t>
        </is>
      </c>
      <c r="E42" s="11" t="inlineStr">
        <is>
          <t>Có slug của tin đã đóng/hết hạn</t>
        </is>
      </c>
      <c r="F42" s="11" t="inlineStr">
        <is>
          <t>–</t>
        </is>
      </c>
      <c r="G42" s="11" t="inlineStr">
        <is>
          <t>1. Mở /jobs/&lt;slug&gt;</t>
        </is>
      </c>
      <c r="H42" s="11" t="inlineStr">
        <is>
          <t>Trang báo không tìm thấy / tin đã ngừng tuyển; không cho ứng tuyển</t>
        </is>
      </c>
      <c r="I42" s="11" t="inlineStr">
        <is>
          <t>P0</t>
        </is>
      </c>
      <c r="J42" s="11" t="inlineStr">
        <is>
          <t>Chức năng</t>
        </is>
      </c>
      <c r="K42" s="11" t="inlineStr"/>
      <c r="L42" s="11" t="inlineStr">
        <is>
          <t>Chưa chạy</t>
        </is>
      </c>
      <c r="M42" s="11" t="inlineStr"/>
      <c r="N42" s="11" t="inlineStr"/>
      <c r="O42" s="11" t="inlineStr"/>
      <c r="P42" s="11" t="inlineStr"/>
    </row>
    <row r="43">
      <c r="A43" s="11" t="inlineStr">
        <is>
          <t>TC-CAN06-004</t>
        </is>
      </c>
      <c r="B43" s="11" t="inlineStr">
        <is>
          <t>CAN-06</t>
        </is>
      </c>
      <c r="C43" s="11" t="inlineStr">
        <is>
          <t>Ứng viên</t>
        </is>
      </c>
      <c r="D43" s="11" t="inlineStr">
        <is>
          <t>Lượt xem tăng khi mở tin</t>
        </is>
      </c>
      <c r="E43" s="11" t="inlineStr">
        <is>
          <t>ntd1 có tin X</t>
        </is>
      </c>
      <c r="F43" s="11" t="inlineStr">
        <is>
          <t>–</t>
        </is>
      </c>
      <c r="G43" s="11" t="inlineStr">
        <is>
          <t>1. Ghi lại lượt xem ở trang NTD
2. Khách mở chi tiết tin X
3. Xem lại ở trang NTD</t>
        </is>
      </c>
      <c r="H43" s="11" t="inlineStr">
        <is>
          <t>Lượt xem tăng</t>
        </is>
      </c>
      <c r="I43" s="11" t="inlineStr">
        <is>
          <t>P1</t>
        </is>
      </c>
      <c r="J43" s="11" t="inlineStr">
        <is>
          <t>Chức năng</t>
        </is>
      </c>
      <c r="K43" s="11" t="inlineStr"/>
      <c r="L43" s="11" t="inlineStr">
        <is>
          <t>Chưa chạy</t>
        </is>
      </c>
      <c r="M43" s="11" t="inlineStr"/>
      <c r="N43" s="11" t="inlineStr"/>
      <c r="O43" s="11" t="inlineStr"/>
      <c r="P43" s="11" t="inlineStr"/>
    </row>
    <row r="44">
      <c r="A44" s="11" t="inlineStr">
        <is>
          <t>TC-CAN06-005</t>
        </is>
      </c>
      <c r="B44" s="11" t="inlineStr">
        <is>
          <t>CAN-06</t>
        </is>
      </c>
      <c r="C44" s="11" t="inlineStr">
        <is>
          <t>Ứng viên</t>
        </is>
      </c>
      <c r="D44" s="11" t="inlineStr">
        <is>
          <t>Dấu ✔ công ty đã xác minh</t>
        </is>
      </c>
      <c r="E44" s="11" t="inlineStr">
        <is>
          <t>Công ty A đã xác minh, B chưa</t>
        </is>
      </c>
      <c r="F44" s="11" t="inlineStr">
        <is>
          <t>–</t>
        </is>
      </c>
      <c r="G44" s="11" t="inlineStr">
        <is>
          <t>1. Mở tin của A và của B</t>
        </is>
      </c>
      <c r="H44" s="11" t="inlineStr">
        <is>
          <t>Tin của A có dấu ✔, B không có</t>
        </is>
      </c>
      <c r="I44" s="11" t="inlineStr">
        <is>
          <t>P2</t>
        </is>
      </c>
      <c r="J44" s="11" t="inlineStr">
        <is>
          <t>Chức năng</t>
        </is>
      </c>
      <c r="K44" s="11" t="inlineStr"/>
      <c r="L44" s="11" t="inlineStr">
        <is>
          <t>Chưa chạy</t>
        </is>
      </c>
      <c r="M44" s="11" t="inlineStr"/>
      <c r="N44" s="11" t="inlineStr"/>
      <c r="O44" s="11" t="inlineStr"/>
      <c r="P44" s="11" t="inlineStr"/>
    </row>
    <row r="45">
      <c r="A45" s="11" t="inlineStr">
        <is>
          <t>TC-CAN07-001</t>
        </is>
      </c>
      <c r="B45" s="11" t="inlineStr">
        <is>
          <t>CAN-07</t>
        </is>
      </c>
      <c r="C45" s="11" t="inlineStr">
        <is>
          <t>Ứng viên</t>
        </is>
      </c>
      <c r="D45" s="11" t="inlineStr">
        <is>
          <t>Ứng tuyển thành công</t>
        </is>
      </c>
      <c r="E45" s="11" t="inlineStr">
        <is>
          <t>uv1 có CV; chưa ứng tuyển tin X</t>
        </is>
      </c>
      <c r="F45" s="11" t="inlineStr">
        <is>
          <t>Thư: "QA thư giới thiệu"</t>
        </is>
      </c>
      <c r="G45" s="11" t="inlineStr">
        <is>
          <t>1. Mở tin X
2. Bấm Ứng tuyển
3. Chọn CV, nhập thư
4. Gửi</t>
        </is>
      </c>
      <c r="H45" s="11" t="inlineStr">
        <is>
          <t>Báo thành công; nút đổi thành "Đã ứng tuyển"; đơn ở /candidate/applications với trạng thái Đã nộp</t>
        </is>
      </c>
      <c r="I45" s="11" t="inlineStr">
        <is>
          <t>P0</t>
        </is>
      </c>
      <c r="J45" s="11" t="inlineStr">
        <is>
          <t>Chức năng</t>
        </is>
      </c>
      <c r="K45" s="11" t="inlineStr"/>
      <c r="L45" s="11" t="inlineStr">
        <is>
          <t>Chưa chạy</t>
        </is>
      </c>
      <c r="M45" s="11" t="inlineStr"/>
      <c r="N45" s="11" t="inlineStr"/>
      <c r="O45" s="11" t="inlineStr"/>
      <c r="P45" s="11" t="inlineStr"/>
    </row>
    <row r="46">
      <c r="A46" s="11" t="inlineStr">
        <is>
          <t>TC-CAN07-002</t>
        </is>
      </c>
      <c r="B46" s="11" t="inlineStr">
        <is>
          <t>CAN-07</t>
        </is>
      </c>
      <c r="C46" s="11" t="inlineStr">
        <is>
          <t>Ứng viên</t>
        </is>
      </c>
      <c r="D46" s="11" t="inlineStr">
        <is>
          <t>NTD nhận thông báo đơn mới</t>
        </is>
      </c>
      <c r="E46" s="11" t="inlineStr">
        <is>
          <t>Sau khi uv1 ứng tuyển tin X của công ty ntd1 (có ntd3 là thành viên)</t>
        </is>
      </c>
      <c r="F46" s="11" t="inlineStr">
        <is>
          <t>–</t>
        </is>
      </c>
      <c r="G46" s="11" t="inlineStr">
        <is>
          <t>1. ntd1 xem chuông thông báo
2. ntd3 xem chuông thông báo</t>
        </is>
      </c>
      <c r="H46" s="11" t="inlineStr">
        <is>
          <t>Cả ntd1 và ntd3 nhận "Có ứng viên mới" (realtime, không cần tải lại)</t>
        </is>
      </c>
      <c r="I46" s="11" t="inlineStr">
        <is>
          <t>P0</t>
        </is>
      </c>
      <c r="J46" s="11" t="inlineStr">
        <is>
          <t>Chức năng</t>
        </is>
      </c>
      <c r="K46" s="11" t="inlineStr"/>
      <c r="L46" s="11" t="inlineStr">
        <is>
          <t>Chưa chạy</t>
        </is>
      </c>
      <c r="M46" s="11" t="inlineStr"/>
      <c r="N46" s="11" t="inlineStr"/>
      <c r="O46" s="11" t="inlineStr"/>
      <c r="P46" s="11" t="inlineStr"/>
    </row>
    <row r="47">
      <c r="A47" s="11" t="inlineStr">
        <is>
          <t>TC-CAN07-003</t>
        </is>
      </c>
      <c r="B47" s="11" t="inlineStr">
        <is>
          <t>CAN-07</t>
        </is>
      </c>
      <c r="C47" s="11" t="inlineStr">
        <is>
          <t>Ứng viên</t>
        </is>
      </c>
      <c r="D47" s="11" t="inlineStr">
        <is>
          <t>Thư giới thiệu đúng 3000 ký tự</t>
        </is>
      </c>
      <c r="E47" s="11" t="inlineStr">
        <is>
          <t>uv1 có CV, chưa ứng tuyển tin Y</t>
        </is>
      </c>
      <c r="F47" s="11" t="inlineStr">
        <is>
          <t>Thư 3000 ký tự</t>
        </is>
      </c>
      <c r="G47" s="11" t="inlineStr">
        <is>
          <t>1. Ứng tuyển tin Y với thư 3000 ký tự</t>
        </is>
      </c>
      <c r="H47" s="11" t="inlineStr">
        <is>
          <t>Nộp thành công</t>
        </is>
      </c>
      <c r="I47" s="11" t="inlineStr">
        <is>
          <t>P0</t>
        </is>
      </c>
      <c r="J47" s="11" t="inlineStr">
        <is>
          <t>Biên</t>
        </is>
      </c>
      <c r="K47" s="11" t="inlineStr"/>
      <c r="L47" s="11" t="inlineStr">
        <is>
          <t>Chưa chạy</t>
        </is>
      </c>
      <c r="M47" s="11" t="inlineStr"/>
      <c r="N47" s="11" t="inlineStr"/>
      <c r="O47" s="11" t="inlineStr"/>
      <c r="P47" s="11" t="inlineStr"/>
    </row>
    <row r="48">
      <c r="A48" s="11" t="inlineStr">
        <is>
          <t>TC-CAN07-004</t>
        </is>
      </c>
      <c r="B48" s="11" t="inlineStr">
        <is>
          <t>CAN-07</t>
        </is>
      </c>
      <c r="C48" s="11" t="inlineStr">
        <is>
          <t>Ứng viên</t>
        </is>
      </c>
      <c r="D48" s="11" t="inlineStr">
        <is>
          <t>Thư giới thiệu 3001 ký tự</t>
        </is>
      </c>
      <c r="E48" s="11" t="inlineStr">
        <is>
          <t>uv1 có CV, chưa ứng tuyển tin Z</t>
        </is>
      </c>
      <c r="F48" s="11" t="inlineStr">
        <is>
          <t>Thư 3001 ký tự</t>
        </is>
      </c>
      <c r="G48" s="11" t="inlineStr">
        <is>
          <t>1. Dán thư 3001 ký tự
2. Gửi</t>
        </is>
      </c>
      <c r="H48" s="11" t="inlineStr">
        <is>
          <t>Không nhập quá 3000 ký tự hoặc báo lỗi; không tạo đơn</t>
        </is>
      </c>
      <c r="I48" s="11" t="inlineStr">
        <is>
          <t>P0</t>
        </is>
      </c>
      <c r="J48" s="11" t="inlineStr">
        <is>
          <t>Biên</t>
        </is>
      </c>
      <c r="K48" s="11" t="inlineStr"/>
      <c r="L48" s="11" t="inlineStr">
        <is>
          <t>Chưa chạy</t>
        </is>
      </c>
      <c r="M48" s="11" t="inlineStr"/>
      <c r="N48" s="11" t="inlineStr"/>
      <c r="O48" s="11" t="inlineStr"/>
      <c r="P48" s="11" t="inlineStr"/>
    </row>
    <row r="49">
      <c r="A49" s="11" t="inlineStr">
        <is>
          <t>TC-CAN07-005</t>
        </is>
      </c>
      <c r="B49" s="11" t="inlineStr">
        <is>
          <t>CAN-07</t>
        </is>
      </c>
      <c r="C49" s="11" t="inlineStr">
        <is>
          <t>Ứng viên</t>
        </is>
      </c>
      <c r="D49" s="11" t="inlineStr">
        <is>
          <t>Ứng tuyển lại cùng 1 tin</t>
        </is>
      </c>
      <c r="E49" s="11" t="inlineStr">
        <is>
          <t>uv1 đã ứng tuyển tin X</t>
        </is>
      </c>
      <c r="F49" s="11" t="inlineStr">
        <is>
          <t>–</t>
        </is>
      </c>
      <c r="G49" s="11" t="inlineStr">
        <is>
          <t>1. Gọi lại API ứng tuyển tin X (hoặc thử ở tab cũ)</t>
        </is>
      </c>
      <c r="H49" s="11" t="inlineStr">
        <is>
          <t>Báo "Bạn đã ứng tuyển vị trí này rồi"</t>
        </is>
      </c>
      <c r="I49" s="11" t="inlineStr">
        <is>
          <t>P0</t>
        </is>
      </c>
      <c r="J49" s="11" t="inlineStr">
        <is>
          <t>Validate</t>
        </is>
      </c>
      <c r="K49" s="11" t="inlineStr"/>
      <c r="L49" s="11" t="inlineStr">
        <is>
          <t>Chưa chạy</t>
        </is>
      </c>
      <c r="M49" s="11" t="inlineStr"/>
      <c r="N49" s="11" t="inlineStr"/>
      <c r="O49" s="11" t="inlineStr"/>
      <c r="P49" s="11" t="inlineStr"/>
    </row>
    <row r="50">
      <c r="A50" s="11" t="inlineStr">
        <is>
          <t>TC-CAN07-006</t>
        </is>
      </c>
      <c r="B50" s="11" t="inlineStr">
        <is>
          <t>CAN-07</t>
        </is>
      </c>
      <c r="C50" s="11" t="inlineStr">
        <is>
          <t>Ứng viên</t>
        </is>
      </c>
      <c r="D50" s="11" t="inlineStr">
        <is>
          <t>Bấm Gửi 2 lần liên tiếp</t>
        </is>
      </c>
      <c r="E50" s="11" t="inlineStr">
        <is>
          <t>uv1 chưa ứng tuyển tin W</t>
        </is>
      </c>
      <c r="F50" s="11" t="inlineStr">
        <is>
          <t>–</t>
        </is>
      </c>
      <c r="G50" s="11" t="inlineStr">
        <is>
          <t>1. Bấm nút Gửi đơn 2 lần thật nhanh</t>
        </is>
      </c>
      <c r="H50" s="11" t="inlineStr">
        <is>
          <t>Chỉ tạo 1 đơn</t>
        </is>
      </c>
      <c r="I50" s="11" t="inlineStr">
        <is>
          <t>P0</t>
        </is>
      </c>
      <c r="J50" s="11" t="inlineStr">
        <is>
          <t>Đoán lỗi</t>
        </is>
      </c>
      <c r="K50" s="11" t="inlineStr"/>
      <c r="L50" s="11" t="inlineStr">
        <is>
          <t>Chưa chạy</t>
        </is>
      </c>
      <c r="M50" s="11" t="inlineStr"/>
      <c r="N50" s="11" t="inlineStr"/>
      <c r="O50" s="11" t="inlineStr"/>
      <c r="P50" s="11" t="inlineStr"/>
    </row>
    <row r="51">
      <c r="A51" s="11" t="inlineStr">
        <is>
          <t>TC-CAN07-007</t>
        </is>
      </c>
      <c r="B51" s="11" t="inlineStr">
        <is>
          <t>CAN-07</t>
        </is>
      </c>
      <c r="C51" s="11" t="inlineStr">
        <is>
          <t>Ứng viên</t>
        </is>
      </c>
      <c r="D51" s="11" t="inlineStr">
        <is>
          <t>Ứng tuyển khi chưa có CV</t>
        </is>
      </c>
      <c r="E51" s="11" t="inlineStr">
        <is>
          <t>uv2 không có CV nào</t>
        </is>
      </c>
      <c r="F51" s="11" t="inlineStr">
        <is>
          <t>–</t>
        </is>
      </c>
      <c r="G51" s="11" t="inlineStr">
        <is>
          <t>1. Mở tin, bấm Ứng tuyển</t>
        </is>
      </c>
      <c r="H51" s="11" t="inlineStr">
        <is>
          <t>Hướng dẫn tải CV trước; không tạo đơn</t>
        </is>
      </c>
      <c r="I51" s="11" t="inlineStr">
        <is>
          <t>P0</t>
        </is>
      </c>
      <c r="J51" s="11" t="inlineStr">
        <is>
          <t>Validate</t>
        </is>
      </c>
      <c r="K51" s="11" t="inlineStr"/>
      <c r="L51" s="11" t="inlineStr">
        <is>
          <t>Chưa chạy</t>
        </is>
      </c>
      <c r="M51" s="11" t="inlineStr"/>
      <c r="N51" s="11" t="inlineStr"/>
      <c r="O51" s="11" t="inlineStr"/>
      <c r="P51" s="11" t="inlineStr"/>
    </row>
    <row r="52">
      <c r="A52" s="11" t="inlineStr">
        <is>
          <t>TC-CAN07-008</t>
        </is>
      </c>
      <c r="B52" s="11" t="inlineStr">
        <is>
          <t>CAN-07</t>
        </is>
      </c>
      <c r="C52" s="11" t="inlineStr">
        <is>
          <t>Ứng viên</t>
        </is>
      </c>
      <c r="D52" s="11" t="inlineStr">
        <is>
          <t>Khách bấm Ứng tuyển</t>
        </is>
      </c>
      <c r="E52" s="11" t="inlineStr">
        <is>
          <t>Chưa đăng nhập</t>
        </is>
      </c>
      <c r="F52" s="11" t="inlineStr">
        <is>
          <t>–</t>
        </is>
      </c>
      <c r="G52" s="11" t="inlineStr">
        <is>
          <t>1. Mở tin
2. Bấm Ứng tuyển</t>
        </is>
      </c>
      <c r="H52" s="11" t="inlineStr">
        <is>
          <t>Chuyển tới đăng nhập, sau đó quay lại tin</t>
        </is>
      </c>
      <c r="I52" s="11" t="inlineStr">
        <is>
          <t>P0</t>
        </is>
      </c>
      <c r="J52" s="11" t="inlineStr">
        <is>
          <t>Phân quyền</t>
        </is>
      </c>
      <c r="K52" s="11" t="inlineStr"/>
      <c r="L52" s="11" t="inlineStr">
        <is>
          <t>Chưa chạy</t>
        </is>
      </c>
      <c r="M52" s="11" t="inlineStr"/>
      <c r="N52" s="11" t="inlineStr"/>
      <c r="O52" s="11" t="inlineStr"/>
      <c r="P52" s="11" t="inlineStr"/>
    </row>
    <row r="53">
      <c r="A53" s="11" t="inlineStr">
        <is>
          <t>TC-CAN07-009</t>
        </is>
      </c>
      <c r="B53" s="11" t="inlineStr">
        <is>
          <t>CAN-07</t>
        </is>
      </c>
      <c r="C53" s="11" t="inlineStr">
        <is>
          <t>Ứng viên</t>
        </is>
      </c>
      <c r="D53" s="11" t="inlineStr">
        <is>
          <t>NTD / Admin không ứng tuyển được</t>
        </is>
      </c>
      <c r="E53" s="11" t="inlineStr">
        <is>
          <t>ntd1 đăng nhập</t>
        </is>
      </c>
      <c r="F53" s="11" t="inlineStr">
        <is>
          <t>–</t>
        </is>
      </c>
      <c r="G53" s="11" t="inlineStr">
        <is>
          <t>1. Mở tin
2. Tìm nút Ứng tuyển; gọi API ứng tuyển bằng token ntd1</t>
        </is>
      </c>
      <c r="H53" s="11" t="inlineStr">
        <is>
          <t>Không có nút hoặc bị chặn; API trả 403</t>
        </is>
      </c>
      <c r="I53" s="11" t="inlineStr">
        <is>
          <t>P0</t>
        </is>
      </c>
      <c r="J53" s="11" t="inlineStr">
        <is>
          <t>Phân quyền</t>
        </is>
      </c>
      <c r="K53" s="11" t="inlineStr"/>
      <c r="L53" s="11" t="inlineStr">
        <is>
          <t>Chưa chạy</t>
        </is>
      </c>
      <c r="M53" s="11" t="inlineStr"/>
      <c r="N53" s="11" t="inlineStr"/>
      <c r="O53" s="11" t="inlineStr"/>
      <c r="P53" s="11" t="inlineStr"/>
    </row>
    <row r="54">
      <c r="A54" s="11" t="inlineStr">
        <is>
          <t>TC-CAN07-010</t>
        </is>
      </c>
      <c r="B54" s="11" t="inlineStr">
        <is>
          <t>CAN-07</t>
        </is>
      </c>
      <c r="C54" s="11" t="inlineStr">
        <is>
          <t>Ứng viên</t>
        </is>
      </c>
      <c r="D54" s="11" t="inlineStr">
        <is>
          <t>Ứng tuyển bằng CV của người khác</t>
        </is>
      </c>
      <c r="E54" s="11" t="inlineStr">
        <is>
          <t>uv1 đăng nhập; biết id CV của uv2</t>
        </is>
      </c>
      <c r="F54" s="11" t="inlineStr">
        <is>
          <t>resumeId của uv2</t>
        </is>
      </c>
      <c r="G54" s="11" t="inlineStr">
        <is>
          <t>1. Gọi API ứng tuyển với resumeId của uv2</t>
        </is>
      </c>
      <c r="H54" s="11" t="inlineStr">
        <is>
          <t>Bị từ chối ("Không tìm thấy CV"); không tạo đơn</t>
        </is>
      </c>
      <c r="I54" s="11" t="inlineStr">
        <is>
          <t>P0</t>
        </is>
      </c>
      <c r="J54" s="11" t="inlineStr">
        <is>
          <t>Bảo mật</t>
        </is>
      </c>
      <c r="K54" s="11" t="inlineStr"/>
      <c r="L54" s="11" t="inlineStr">
        <is>
          <t>Chưa chạy</t>
        </is>
      </c>
      <c r="M54" s="11" t="inlineStr"/>
      <c r="N54" s="11" t="inlineStr"/>
      <c r="O54" s="11" t="inlineStr"/>
      <c r="P54" s="11" t="inlineStr"/>
    </row>
    <row r="55">
      <c r="A55" s="11" t="inlineStr">
        <is>
          <t>TC-CAN07-011</t>
        </is>
      </c>
      <c r="B55" s="11" t="inlineStr">
        <is>
          <t>CAN-07</t>
        </is>
      </c>
      <c r="C55" s="11" t="inlineStr">
        <is>
          <t>Ứng viên</t>
        </is>
      </c>
      <c r="D55" s="11" t="inlineStr">
        <is>
          <t>Ứng tuyển tin đã đóng / hết hạn</t>
        </is>
      </c>
      <c r="E55" s="11" t="inlineStr">
        <is>
          <t>Tin X vừa bị đóng khi uv1 đang mở trang</t>
        </is>
      </c>
      <c r="F55" s="11" t="inlineStr">
        <is>
          <t>–</t>
        </is>
      </c>
      <c r="G55" s="11" t="inlineStr">
        <is>
          <t>1. Mở tin X
2. NTD đóng tin
3. uv1 bấm Gửi đơn</t>
        </is>
      </c>
      <c r="H55" s="11" t="inlineStr">
        <is>
          <t>Báo "Tin tuyển dụng đã đóng, không thể ứng tuyển" hoặc "đã hết hạn nộp hồ sơ"</t>
        </is>
      </c>
      <c r="I55" s="11" t="inlineStr">
        <is>
          <t>P0</t>
        </is>
      </c>
      <c r="J55" s="11" t="inlineStr">
        <is>
          <t>Trạng thái</t>
        </is>
      </c>
      <c r="K55" s="11" t="inlineStr"/>
      <c r="L55" s="11" t="inlineStr">
        <is>
          <t>Chưa chạy</t>
        </is>
      </c>
      <c r="M55" s="11" t="inlineStr"/>
      <c r="N55" s="11" t="inlineStr"/>
      <c r="O55" s="11" t="inlineStr"/>
      <c r="P55" s="11" t="inlineStr"/>
    </row>
    <row r="56">
      <c r="A56" s="11" t="inlineStr">
        <is>
          <t>TC-CAN07-012</t>
        </is>
      </c>
      <c r="B56" s="11" t="inlineStr">
        <is>
          <t>CAN-07</t>
        </is>
      </c>
      <c r="C56" s="11" t="inlineStr">
        <is>
          <t>Ứng viên</t>
        </is>
      </c>
      <c r="D56" s="11" t="inlineStr">
        <is>
          <t>Xóa CV sau khi nộp, NTD vẫn xem được</t>
        </is>
      </c>
      <c r="E56" s="11" t="inlineStr">
        <is>
          <t>uv1 đã nộp đơn bằng cv-qa.pdf</t>
        </is>
      </c>
      <c r="F56" s="11" t="inlineStr">
        <is>
          <t>–</t>
        </is>
      </c>
      <c r="G56" s="11" t="inlineStr">
        <is>
          <t>1. uv1 xóa cv-qa.pdf
2. ntd1 mở chi tiết đơn, xem CV</t>
        </is>
      </c>
      <c r="H56" s="11" t="inlineStr">
        <is>
          <t>NTD vẫn xem/tải được bản CV lúc nộp</t>
        </is>
      </c>
      <c r="I56" s="11" t="inlineStr">
        <is>
          <t>P1</t>
        </is>
      </c>
      <c r="J56" s="11" t="inlineStr">
        <is>
          <t>Chức năng</t>
        </is>
      </c>
      <c r="K56" s="11" t="inlineStr"/>
      <c r="L56" s="11" t="inlineStr">
        <is>
          <t>Chưa chạy</t>
        </is>
      </c>
      <c r="M56" s="11" t="inlineStr"/>
      <c r="N56" s="11" t="inlineStr"/>
      <c r="O56" s="11" t="inlineStr"/>
      <c r="P56" s="11" t="inlineStr"/>
    </row>
    <row r="57">
      <c r="A57" s="11" t="inlineStr">
        <is>
          <t>TC-CAN07-013</t>
        </is>
      </c>
      <c r="B57" s="11" t="inlineStr">
        <is>
          <t>CAN-07</t>
        </is>
      </c>
      <c r="C57" s="11" t="inlineStr">
        <is>
          <t>Ứng viên</t>
        </is>
      </c>
      <c r="D57" s="11" t="inlineStr">
        <is>
          <t>Thư giới thiệu chứa HTML/script</t>
        </is>
      </c>
      <c r="E57" s="11" t="inlineStr">
        <is>
          <t>uv1 chưa ứng tuyển tin V</t>
        </is>
      </c>
      <c r="F57" s="11" t="inlineStr">
        <is>
          <t>Thư: &lt;script&gt;alert(1)&lt;/script&gt;&lt;b&gt;QA&lt;/b&gt;</t>
        </is>
      </c>
      <c r="G57" s="11" t="inlineStr">
        <is>
          <t>1. Nộp đơn
2. ntd1 mở chi tiết đơn</t>
        </is>
      </c>
      <c r="H57" s="11" t="inlineStr">
        <is>
          <t>Script không chạy; nội dung hiển thị an toàn</t>
        </is>
      </c>
      <c r="I57" s="11" t="inlineStr">
        <is>
          <t>P1</t>
        </is>
      </c>
      <c r="J57" s="11" t="inlineStr">
        <is>
          <t>Bảo mật</t>
        </is>
      </c>
      <c r="K57" s="11" t="inlineStr"/>
      <c r="L57" s="11" t="inlineStr">
        <is>
          <t>Chưa chạy</t>
        </is>
      </c>
      <c r="M57" s="11" t="inlineStr"/>
      <c r="N57" s="11" t="inlineStr"/>
      <c r="O57" s="11" t="inlineStr"/>
      <c r="P57" s="11" t="inlineStr"/>
    </row>
    <row r="58">
      <c r="A58" s="11" t="inlineStr">
        <is>
          <t>TC-CAN07-014</t>
        </is>
      </c>
      <c r="B58" s="11" t="inlineStr">
        <is>
          <t>CAN-07</t>
        </is>
      </c>
      <c r="C58" s="11" t="inlineStr">
        <is>
          <t>Ứng viên</t>
        </is>
      </c>
      <c r="D58" s="11" t="inlineStr">
        <is>
          <t>Giới hạn 20 lần ứng tuyển / phút</t>
        </is>
      </c>
      <c r="E58" s="11" t="inlineStr">
        <is>
          <t>uv1 đăng nhập</t>
        </is>
      </c>
      <c r="F58" s="11" t="inlineStr">
        <is>
          <t>–</t>
        </is>
      </c>
      <c r="G58" s="11" t="inlineStr">
        <is>
          <t>1. Gọi API ứng tuyển 21 lần trong 1 phút (các tin khác nhau)</t>
        </is>
      </c>
      <c r="H58" s="11" t="inlineStr">
        <is>
          <t>Lần 21 bị 429</t>
        </is>
      </c>
      <c r="I58" s="11" t="inlineStr">
        <is>
          <t>P2</t>
        </is>
      </c>
      <c r="J58" s="11" t="inlineStr">
        <is>
          <t>Bảo mật</t>
        </is>
      </c>
      <c r="K58" s="11" t="inlineStr"/>
      <c r="L58" s="11" t="inlineStr">
        <is>
          <t>Chưa chạy</t>
        </is>
      </c>
      <c r="M58" s="11" t="inlineStr"/>
      <c r="N58" s="11" t="inlineStr"/>
      <c r="O58" s="11" t="inlineStr"/>
      <c r="P58" s="11" t="inlineStr"/>
    </row>
    <row r="59">
      <c r="A59" s="11" t="inlineStr">
        <is>
          <t>TC-CAN08-001</t>
        </is>
      </c>
      <c r="B59" s="11" t="inlineStr">
        <is>
          <t>CAN-08</t>
        </is>
      </c>
      <c r="C59" s="11" t="inlineStr">
        <is>
          <t>Ứng viên</t>
        </is>
      </c>
      <c r="D59" s="11" t="inlineStr">
        <is>
          <t>Xem danh sách đơn đã nộp</t>
        </is>
      </c>
      <c r="E59" s="11" t="inlineStr">
        <is>
          <t>uv1 có ≥ 2 đơn</t>
        </is>
      </c>
      <c r="F59" s="11" t="inlineStr">
        <is>
          <t>–</t>
        </is>
      </c>
      <c r="G59" s="11" t="inlineStr">
        <is>
          <t>1. Mở /candidate/applications</t>
        </is>
      </c>
      <c r="H59" s="11" t="inlineStr">
        <is>
          <t>Hiện tin, công ty, ngày nộp, trạng thái có nhãn chữ</t>
        </is>
      </c>
      <c r="I59" s="11" t="inlineStr">
        <is>
          <t>P0</t>
        </is>
      </c>
      <c r="J59" s="11" t="inlineStr">
        <is>
          <t>Chức năng</t>
        </is>
      </c>
      <c r="K59" s="11" t="inlineStr"/>
      <c r="L59" s="11" t="inlineStr">
        <is>
          <t>Chưa chạy</t>
        </is>
      </c>
      <c r="M59" s="11" t="inlineStr"/>
      <c r="N59" s="11" t="inlineStr"/>
      <c r="O59" s="11" t="inlineStr"/>
      <c r="P59" s="11" t="inlineStr"/>
    </row>
    <row r="60">
      <c r="A60" s="11" t="inlineStr">
        <is>
          <t>TC-CAN08-002</t>
        </is>
      </c>
      <c r="B60" s="11" t="inlineStr">
        <is>
          <t>CAN-08</t>
        </is>
      </c>
      <c r="C60" s="11" t="inlineStr">
        <is>
          <t>Ứng viên</t>
        </is>
      </c>
      <c r="D60" s="11" t="inlineStr">
        <is>
          <t>Rút đơn ở trạng thái Đã nộp</t>
        </is>
      </c>
      <c r="E60" s="11" t="inlineStr">
        <is>
          <t>uv1 có đơn Đã nộp</t>
        </is>
      </c>
      <c r="F60" s="11" t="inlineStr">
        <is>
          <t>–</t>
        </is>
      </c>
      <c r="G60" s="11" t="inlineStr">
        <is>
          <t>1. Bấm Rút đơn → xác nhận</t>
        </is>
      </c>
      <c r="H60" s="11" t="inlineStr">
        <is>
          <t>Đơn chuyển "Đã rút"; NTD thấy trạng thái đã rút</t>
        </is>
      </c>
      <c r="I60" s="11" t="inlineStr">
        <is>
          <t>P0</t>
        </is>
      </c>
      <c r="J60" s="11" t="inlineStr">
        <is>
          <t>Chức năng</t>
        </is>
      </c>
      <c r="K60" s="11" t="inlineStr"/>
      <c r="L60" s="11" t="inlineStr">
        <is>
          <t>Chưa chạy</t>
        </is>
      </c>
      <c r="M60" s="11" t="inlineStr"/>
      <c r="N60" s="11" t="inlineStr"/>
      <c r="O60" s="11" t="inlineStr"/>
      <c r="P60" s="11" t="inlineStr"/>
    </row>
    <row r="61">
      <c r="A61" s="11" t="inlineStr">
        <is>
          <t>TC-CAN08-003</t>
        </is>
      </c>
      <c r="B61" s="11" t="inlineStr">
        <is>
          <t>CAN-08</t>
        </is>
      </c>
      <c r="C61" s="11" t="inlineStr">
        <is>
          <t>Ứng viên</t>
        </is>
      </c>
      <c r="D61" s="11" t="inlineStr">
        <is>
          <t>Rút đơn ở Đã xem và Phù hợp</t>
        </is>
      </c>
      <c r="E61" s="11" t="inlineStr">
        <is>
          <t>Có đơn ở VIEWED và SHORTLISTED</t>
        </is>
      </c>
      <c r="F61" s="11" t="inlineStr">
        <is>
          <t>–</t>
        </is>
      </c>
      <c r="G61" s="11" t="inlineStr">
        <is>
          <t>1. Rút từng đơn</t>
        </is>
      </c>
      <c r="H61" s="11" t="inlineStr">
        <is>
          <t>Rút thành công</t>
        </is>
      </c>
      <c r="I61" s="11" t="inlineStr">
        <is>
          <t>P1</t>
        </is>
      </c>
      <c r="J61" s="11" t="inlineStr">
        <is>
          <t>Trạng thái</t>
        </is>
      </c>
      <c r="K61" s="11" t="inlineStr"/>
      <c r="L61" s="11" t="inlineStr">
        <is>
          <t>Chưa chạy</t>
        </is>
      </c>
      <c r="M61" s="11" t="inlineStr"/>
      <c r="N61" s="11" t="inlineStr"/>
      <c r="O61" s="11" t="inlineStr"/>
      <c r="P61" s="11" t="inlineStr"/>
    </row>
    <row r="62">
      <c r="A62" s="11" t="inlineStr">
        <is>
          <t>TC-CAN08-004</t>
        </is>
      </c>
      <c r="B62" s="11" t="inlineStr">
        <is>
          <t>CAN-08</t>
        </is>
      </c>
      <c r="C62" s="11" t="inlineStr">
        <is>
          <t>Ứng viên</t>
        </is>
      </c>
      <c r="D62" s="11" t="inlineStr">
        <is>
          <t>Không rút được đơn Phỏng vấn / Offer / Từ chối</t>
        </is>
      </c>
      <c r="E62" s="11" t="inlineStr">
        <is>
          <t>Có đơn ở 3 trạng thái đó</t>
        </is>
      </c>
      <c r="F62" s="11" t="inlineStr">
        <is>
          <t>–</t>
        </is>
      </c>
      <c r="G62" s="11" t="inlineStr">
        <is>
          <t>1. Tìm nút Rút
2. Gọi API rút</t>
        </is>
      </c>
      <c r="H62" s="11" t="inlineStr">
        <is>
          <t>Không có nút; API báo "Đơn đã được nhà tuyển dụng xử lý, không thể rút"</t>
        </is>
      </c>
      <c r="I62" s="11" t="inlineStr">
        <is>
          <t>P0</t>
        </is>
      </c>
      <c r="J62" s="11" t="inlineStr">
        <is>
          <t>Trạng thái</t>
        </is>
      </c>
      <c r="K62" s="11" t="inlineStr"/>
      <c r="L62" s="11" t="inlineStr">
        <is>
          <t>Chưa chạy</t>
        </is>
      </c>
      <c r="M62" s="11" t="inlineStr"/>
      <c r="N62" s="11" t="inlineStr"/>
      <c r="O62" s="11" t="inlineStr"/>
      <c r="P62" s="11" t="inlineStr"/>
    </row>
    <row r="63">
      <c r="A63" s="11" t="inlineStr">
        <is>
          <t>TC-CAN08-005</t>
        </is>
      </c>
      <c r="B63" s="11" t="inlineStr">
        <is>
          <t>CAN-08</t>
        </is>
      </c>
      <c r="C63" s="11" t="inlineStr">
        <is>
          <t>Ứng viên</t>
        </is>
      </c>
      <c r="D63" s="11" t="inlineStr">
        <is>
          <t>Không nộp lại tin đã rút đơn</t>
        </is>
      </c>
      <c r="E63" s="11" t="inlineStr">
        <is>
          <t>uv1 đã rút đơn tin X</t>
        </is>
      </c>
      <c r="F63" s="11" t="inlineStr">
        <is>
          <t>–</t>
        </is>
      </c>
      <c r="G63" s="11" t="inlineStr">
        <is>
          <t>1. Mở tin X, bấm Ứng tuyển</t>
        </is>
      </c>
      <c r="H63" s="11" t="inlineStr">
        <is>
          <t>Không cho nộp lại</t>
        </is>
      </c>
      <c r="I63" s="11" t="inlineStr">
        <is>
          <t>P0</t>
        </is>
      </c>
      <c r="J63" s="11" t="inlineStr">
        <is>
          <t>Trạng thái</t>
        </is>
      </c>
      <c r="K63" s="11" t="inlineStr"/>
      <c r="L63" s="11" t="inlineStr">
        <is>
          <t>Chưa chạy</t>
        </is>
      </c>
      <c r="M63" s="11" t="inlineStr"/>
      <c r="N63" s="11" t="inlineStr"/>
      <c r="O63" s="11" t="inlineStr"/>
      <c r="P63" s="11" t="inlineStr"/>
    </row>
    <row r="64">
      <c r="A64" s="11" t="inlineStr">
        <is>
          <t>TC-CAN08-006</t>
        </is>
      </c>
      <c r="B64" s="11" t="inlineStr">
        <is>
          <t>CAN-08</t>
        </is>
      </c>
      <c r="C64" s="11" t="inlineStr">
        <is>
          <t>Ứng viên</t>
        </is>
      </c>
      <c r="D64" s="11" t="inlineStr">
        <is>
          <t>Không xem / rút đơn của người khác</t>
        </is>
      </c>
      <c r="E64" s="11" t="inlineStr">
        <is>
          <t>uv1 biết id đơn của uv2</t>
        </is>
      </c>
      <c r="F64" s="11" t="inlineStr">
        <is>
          <t>–</t>
        </is>
      </c>
      <c r="G64" s="11" t="inlineStr">
        <is>
          <t>1. Gọi API chi tiết / rút đơn của uv2 bằng token uv1</t>
        </is>
      </c>
      <c r="H64" s="11" t="inlineStr">
        <is>
          <t>Trả 404</t>
        </is>
      </c>
      <c r="I64" s="11" t="inlineStr">
        <is>
          <t>P0</t>
        </is>
      </c>
      <c r="J64" s="11" t="inlineStr">
        <is>
          <t>Bảo mật</t>
        </is>
      </c>
      <c r="K64" s="11" t="inlineStr"/>
      <c r="L64" s="11" t="inlineStr">
        <is>
          <t>Chưa chạy</t>
        </is>
      </c>
      <c r="M64" s="11" t="inlineStr"/>
      <c r="N64" s="11" t="inlineStr"/>
      <c r="O64" s="11" t="inlineStr"/>
      <c r="P64" s="11" t="inlineStr"/>
    </row>
    <row r="65">
      <c r="A65" s="11" t="inlineStr">
        <is>
          <t>TC-CAN09-001</t>
        </is>
      </c>
      <c r="B65" s="11" t="inlineStr">
        <is>
          <t>CAN-09</t>
        </is>
      </c>
      <c r="C65" s="11" t="inlineStr">
        <is>
          <t>Ứng viên</t>
        </is>
      </c>
      <c r="D65" s="11" t="inlineStr">
        <is>
          <t>Lưu việc làm và bỏ lưu</t>
        </is>
      </c>
      <c r="E65" s="11" t="inlineStr">
        <is>
          <t>uv1 đăng nhập</t>
        </is>
      </c>
      <c r="F65" s="11" t="inlineStr">
        <is>
          <t>–</t>
        </is>
      </c>
      <c r="G65" s="11" t="inlineStr">
        <is>
          <t>1. Bấm biểu tượng Lưu ở thẻ tin
2. Mở /candidate/saved-jobs
3. Bỏ lưu</t>
        </is>
      </c>
      <c r="H65" s="11" t="inlineStr">
        <is>
          <t>Tin xuất hiện rồi biến mất khỏi danh sách đã lưu; biểu tượng đổi trạng thái</t>
        </is>
      </c>
      <c r="I65" s="11" t="inlineStr">
        <is>
          <t>P1</t>
        </is>
      </c>
      <c r="J65" s="11" t="inlineStr">
        <is>
          <t>Chức năng</t>
        </is>
      </c>
      <c r="K65" s="11" t="inlineStr"/>
      <c r="L65" s="11" t="inlineStr">
        <is>
          <t>Chưa chạy</t>
        </is>
      </c>
      <c r="M65" s="11" t="inlineStr"/>
      <c r="N65" s="11" t="inlineStr"/>
      <c r="O65" s="11" t="inlineStr"/>
      <c r="P65" s="11" t="inlineStr"/>
    </row>
    <row r="66">
      <c r="A66" s="11" t="inlineStr">
        <is>
          <t>TC-CAN09-002</t>
        </is>
      </c>
      <c r="B66" s="11" t="inlineStr">
        <is>
          <t>CAN-09</t>
        </is>
      </c>
      <c r="C66" s="11" t="inlineStr">
        <is>
          <t>Ứng viên</t>
        </is>
      </c>
      <c r="D66" s="11" t="inlineStr">
        <is>
          <t>Khách bấm Lưu việc</t>
        </is>
      </c>
      <c r="E66" s="11" t="inlineStr">
        <is>
          <t>Chưa đăng nhập</t>
        </is>
      </c>
      <c r="F66" s="11" t="inlineStr">
        <is>
          <t>–</t>
        </is>
      </c>
      <c r="G66" s="11" t="inlineStr">
        <is>
          <t>1. Bấm Lưu ở một tin</t>
        </is>
      </c>
      <c r="H66" s="11" t="inlineStr">
        <is>
          <t>Được yêu cầu đăng nhập</t>
        </is>
      </c>
      <c r="I66" s="11" t="inlineStr">
        <is>
          <t>P1</t>
        </is>
      </c>
      <c r="J66" s="11" t="inlineStr">
        <is>
          <t>Phân quyền</t>
        </is>
      </c>
      <c r="K66" s="11" t="inlineStr"/>
      <c r="L66" s="11" t="inlineStr">
        <is>
          <t>Chưa chạy</t>
        </is>
      </c>
      <c r="M66" s="11" t="inlineStr"/>
      <c r="N66" s="11" t="inlineStr"/>
      <c r="O66" s="11" t="inlineStr"/>
      <c r="P66" s="11" t="inlineStr"/>
    </row>
    <row r="67">
      <c r="A67" s="11" t="inlineStr">
        <is>
          <t>TC-CAN09-003</t>
        </is>
      </c>
      <c r="B67" s="11" t="inlineStr">
        <is>
          <t>CAN-09</t>
        </is>
      </c>
      <c r="C67" s="11" t="inlineStr">
        <is>
          <t>Ứng viên</t>
        </is>
      </c>
      <c r="D67" s="11" t="inlineStr">
        <is>
          <t>Theo dõi và bỏ theo dõi công ty</t>
        </is>
      </c>
      <c r="E67" s="11" t="inlineStr">
        <is>
          <t>uv1 đăng nhập</t>
        </is>
      </c>
      <c r="F67" s="11" t="inlineStr">
        <is>
          <t>Công ty Sao Việt</t>
        </is>
      </c>
      <c r="G67" s="11" t="inlineStr">
        <is>
          <t>1. Mở trang công ty, bấm Theo dõi
2. Mở /candidate/followed-companies
3. Bỏ theo dõi</t>
        </is>
      </c>
      <c r="H67" s="11" t="inlineStr">
        <is>
          <t>Danh sách cập nhật đúng; số người theo dõi thay đổi</t>
        </is>
      </c>
      <c r="I67" s="11" t="inlineStr">
        <is>
          <t>P1</t>
        </is>
      </c>
      <c r="J67" s="11" t="inlineStr">
        <is>
          <t>Chức năng</t>
        </is>
      </c>
      <c r="K67" s="11" t="inlineStr"/>
      <c r="L67" s="11" t="inlineStr">
        <is>
          <t>Chưa chạy</t>
        </is>
      </c>
      <c r="M67" s="11" t="inlineStr"/>
      <c r="N67" s="11" t="inlineStr"/>
      <c r="O67" s="11" t="inlineStr"/>
      <c r="P67" s="11" t="inlineStr"/>
    </row>
    <row r="68">
      <c r="A68" s="11" t="inlineStr">
        <is>
          <t>TC-CAN09-004</t>
        </is>
      </c>
      <c r="B68" s="11" t="inlineStr">
        <is>
          <t>CAN-09</t>
        </is>
      </c>
      <c r="C68" s="11" t="inlineStr">
        <is>
          <t>Ứng viên</t>
        </is>
      </c>
      <c r="D68" s="11" t="inlineStr">
        <is>
          <t>Tin đã lưu bị đóng</t>
        </is>
      </c>
      <c r="E68" s="11" t="inlineStr">
        <is>
          <t>uv1 đã lưu tin X; NTD đóng tin X</t>
        </is>
      </c>
      <c r="F68" s="11" t="inlineStr">
        <is>
          <t>–</t>
        </is>
      </c>
      <c r="G68" s="11" t="inlineStr">
        <is>
          <t>1. Mở /candidate/saved-jobs</t>
        </is>
      </c>
      <c r="H68" s="11" t="inlineStr">
        <is>
          <t>Tin X có nhãn đã ngừng tuyển hoặc không còn ứng tuyển được</t>
        </is>
      </c>
      <c r="I68" s="11" t="inlineStr">
        <is>
          <t>P2</t>
        </is>
      </c>
      <c r="J68" s="11" t="inlineStr">
        <is>
          <t>Chức năng</t>
        </is>
      </c>
      <c r="K68" s="11" t="inlineStr"/>
      <c r="L68" s="11" t="inlineStr">
        <is>
          <t>Chưa chạy</t>
        </is>
      </c>
      <c r="M68" s="11" t="inlineStr"/>
      <c r="N68" s="11" t="inlineStr"/>
      <c r="O68" s="11" t="inlineStr"/>
      <c r="P68" s="11" t="inlineStr"/>
    </row>
    <row r="69">
      <c r="A69" s="11" t="inlineStr">
        <is>
          <t>TC-CAN10-001</t>
        </is>
      </c>
      <c r="B69" s="11" t="inlineStr">
        <is>
          <t>CAN-10</t>
        </is>
      </c>
      <c r="C69" s="11" t="inlineStr">
        <is>
          <t>Ứng viên</t>
        </is>
      </c>
      <c r="D69" s="11" t="inlineStr">
        <is>
          <t>Tạo job alert</t>
        </is>
      </c>
      <c r="E69" s="11" t="inlineStr">
        <is>
          <t>uv1 đăng nhập</t>
        </is>
      </c>
      <c r="F69" s="11" t="inlineStr">
        <is>
          <t>Từ khóa: ReactJS; Hà Nội; Hằng ngày</t>
        </is>
      </c>
      <c r="G69" s="11" t="inlineStr">
        <is>
          <t>1. Mở /candidate/job-alerts
2. Tạo mới
3. Lưu</t>
        </is>
      </c>
      <c r="H69" s="11" t="inlineStr">
        <is>
          <t>Alert xuất hiện trong danh sách</t>
        </is>
      </c>
      <c r="I69" s="11" t="inlineStr">
        <is>
          <t>P1</t>
        </is>
      </c>
      <c r="J69" s="11" t="inlineStr">
        <is>
          <t>Chức năng</t>
        </is>
      </c>
      <c r="K69" s="11" t="inlineStr"/>
      <c r="L69" s="11" t="inlineStr">
        <is>
          <t>Chưa chạy</t>
        </is>
      </c>
      <c r="M69" s="11" t="inlineStr"/>
      <c r="N69" s="11" t="inlineStr"/>
      <c r="O69" s="11" t="inlineStr"/>
      <c r="P69" s="11" t="inlineStr"/>
    </row>
    <row r="70">
      <c r="A70" s="11" t="inlineStr">
        <is>
          <t>TC-CAN10-002</t>
        </is>
      </c>
      <c r="B70" s="11" t="inlineStr">
        <is>
          <t>CAN-10</t>
        </is>
      </c>
      <c r="C70" s="11" t="inlineStr">
        <is>
          <t>Ứng viên</t>
        </is>
      </c>
      <c r="D70" s="11" t="inlineStr">
        <is>
          <t>Gửi thử job alert</t>
        </is>
      </c>
      <c r="E70" s="11" t="inlineStr">
        <is>
          <t>uv1 có 1 alert</t>
        </is>
      </c>
      <c r="F70" s="11" t="inlineStr">
        <is>
          <t>–</t>
        </is>
      </c>
      <c r="G70" s="11" t="inlineStr">
        <is>
          <t>1. Bấm Gửi thử</t>
        </is>
      </c>
      <c r="H70" s="11" t="inlineStr">
        <is>
          <t>Email gửi tới uv1 với danh sách tin phù hợp (xem terminal API)</t>
        </is>
      </c>
      <c r="I70" s="11" t="inlineStr">
        <is>
          <t>P1</t>
        </is>
      </c>
      <c r="J70" s="11" t="inlineStr">
        <is>
          <t>Chức năng</t>
        </is>
      </c>
      <c r="K70" s="11" t="inlineStr"/>
      <c r="L70" s="11" t="inlineStr">
        <is>
          <t>Chưa chạy</t>
        </is>
      </c>
      <c r="M70" s="11" t="inlineStr"/>
      <c r="N70" s="11" t="inlineStr"/>
      <c r="O70" s="11" t="inlineStr"/>
      <c r="P70" s="11" t="inlineStr"/>
    </row>
    <row r="71">
      <c r="A71" s="11" t="inlineStr">
        <is>
          <t>TC-CAN10-003</t>
        </is>
      </c>
      <c r="B71" s="11" t="inlineStr">
        <is>
          <t>CAN-10</t>
        </is>
      </c>
      <c r="C71" s="11" t="inlineStr">
        <is>
          <t>Ứng viên</t>
        </is>
      </c>
      <c r="D71" s="11" t="inlineStr">
        <is>
          <t>Alert không có điều kiện</t>
        </is>
      </c>
      <c r="E71" s="11" t="inlineStr">
        <is>
          <t>uv1 đăng nhập</t>
        </is>
      </c>
      <c r="F71" s="11" t="inlineStr">
        <is>
          <t>Bỏ trống từ khóa, địa điểm, ngành</t>
        </is>
      </c>
      <c r="G71" s="11" t="inlineStr">
        <is>
          <t>1. Tạo alert
2. Lưu</t>
        </is>
      </c>
      <c r="H71" s="11" t="inlineStr">
        <is>
          <t>Báo "Hãy nhập ít nhất từ khóa, địa điểm hoặc ngành nghề"</t>
        </is>
      </c>
      <c r="I71" s="11" t="inlineStr">
        <is>
          <t>P1</t>
        </is>
      </c>
      <c r="J71" s="11" t="inlineStr">
        <is>
          <t>Validate</t>
        </is>
      </c>
      <c r="K71" s="11" t="inlineStr"/>
      <c r="L71" s="11" t="inlineStr">
        <is>
          <t>Chưa chạy</t>
        </is>
      </c>
      <c r="M71" s="11" t="inlineStr"/>
      <c r="N71" s="11" t="inlineStr"/>
      <c r="O71" s="11" t="inlineStr"/>
      <c r="P71" s="11" t="inlineStr"/>
    </row>
    <row r="72">
      <c r="A72" s="11" t="inlineStr">
        <is>
          <t>TC-CAN10-004</t>
        </is>
      </c>
      <c r="B72" s="11" t="inlineStr">
        <is>
          <t>CAN-10</t>
        </is>
      </c>
      <c r="C72" s="11" t="inlineStr">
        <is>
          <t>Ứng viên</t>
        </is>
      </c>
      <c r="D72" s="11" t="inlineStr">
        <is>
          <t>Tối đa 5 alert</t>
        </is>
      </c>
      <c r="E72" s="11" t="inlineStr">
        <is>
          <t>uv1 có 5 alert</t>
        </is>
      </c>
      <c r="F72" s="11" t="inlineStr">
        <is>
          <t>–</t>
        </is>
      </c>
      <c r="G72" s="11" t="inlineStr">
        <is>
          <t>1. Tạo alert thứ 6</t>
        </is>
      </c>
      <c r="H72" s="11" t="inlineStr">
        <is>
          <t>Báo "Bạn chỉ được tạo tối đa 5 thông báo việc làm"</t>
        </is>
      </c>
      <c r="I72" s="11" t="inlineStr">
        <is>
          <t>P1</t>
        </is>
      </c>
      <c r="J72" s="11" t="inlineStr">
        <is>
          <t>Biên</t>
        </is>
      </c>
      <c r="K72" s="11" t="inlineStr"/>
      <c r="L72" s="11" t="inlineStr">
        <is>
          <t>Chưa chạy</t>
        </is>
      </c>
      <c r="M72" s="11" t="inlineStr"/>
      <c r="N72" s="11" t="inlineStr"/>
      <c r="O72" s="11" t="inlineStr"/>
      <c r="P72" s="11" t="inlineStr"/>
    </row>
    <row r="73">
      <c r="A73" s="11" t="inlineStr">
        <is>
          <t>TC-CAN10-005</t>
        </is>
      </c>
      <c r="B73" s="11" t="inlineStr">
        <is>
          <t>CAN-10</t>
        </is>
      </c>
      <c r="C73" s="11" t="inlineStr">
        <is>
          <t>Ứng viên</t>
        </is>
      </c>
      <c r="D73" s="11" t="inlineStr">
        <is>
          <t>Sửa / tắt / xóa alert</t>
        </is>
      </c>
      <c r="E73" s="11" t="inlineStr">
        <is>
          <t>uv1 có alert</t>
        </is>
      </c>
      <c r="F73" s="11" t="inlineStr">
        <is>
          <t>–</t>
        </is>
      </c>
      <c r="G73" s="11" t="inlineStr">
        <is>
          <t>1. Đổi tần suất sang Hằng tuần
2. Tắt
3. Xóa</t>
        </is>
      </c>
      <c r="H73" s="11" t="inlineStr">
        <is>
          <t>Mỗi thao tác được lưu đúng</t>
        </is>
      </c>
      <c r="I73" s="11" t="inlineStr">
        <is>
          <t>P2</t>
        </is>
      </c>
      <c r="J73" s="11" t="inlineStr">
        <is>
          <t>Chức năng</t>
        </is>
      </c>
      <c r="K73" s="11" t="inlineStr"/>
      <c r="L73" s="11" t="inlineStr">
        <is>
          <t>Chưa chạy</t>
        </is>
      </c>
      <c r="M73" s="11" t="inlineStr"/>
      <c r="N73" s="11" t="inlineStr"/>
      <c r="O73" s="11" t="inlineStr"/>
      <c r="P73" s="11" t="inlineStr"/>
    </row>
    <row r="74">
      <c r="A74" s="11" t="inlineStr">
        <is>
          <t>TC-CAN10-006</t>
        </is>
      </c>
      <c r="B74" s="11" t="inlineStr">
        <is>
          <t>CAN-10</t>
        </is>
      </c>
      <c r="C74" s="11" t="inlineStr">
        <is>
          <t>Ứng viên</t>
        </is>
      </c>
      <c r="D74" s="11" t="inlineStr">
        <is>
          <t>Giới hạn gửi thử 3 lần / 5 phút</t>
        </is>
      </c>
      <c r="E74" s="11" t="inlineStr">
        <is>
          <t>uv1 có alert</t>
        </is>
      </c>
      <c r="F74" s="11" t="inlineStr">
        <is>
          <t>–</t>
        </is>
      </c>
      <c r="G74" s="11" t="inlineStr">
        <is>
          <t>1. Bấm Gửi thử 4 lần trong 5 phút</t>
        </is>
      </c>
      <c r="H74" s="11" t="inlineStr">
        <is>
          <t>Lần 4 bị 429</t>
        </is>
      </c>
      <c r="I74" s="11" t="inlineStr">
        <is>
          <t>P2</t>
        </is>
      </c>
      <c r="J74" s="11" t="inlineStr">
        <is>
          <t>Bảo mật</t>
        </is>
      </c>
      <c r="K74" s="11" t="inlineStr"/>
      <c r="L74" s="11" t="inlineStr">
        <is>
          <t>Chưa chạy</t>
        </is>
      </c>
      <c r="M74" s="11" t="inlineStr"/>
      <c r="N74" s="11" t="inlineStr"/>
      <c r="O74" s="11" t="inlineStr"/>
      <c r="P74" s="11" t="inlineStr"/>
    </row>
    <row r="75">
      <c r="A75" s="11" t="inlineStr">
        <is>
          <t>TC-CAN11-001</t>
        </is>
      </c>
      <c r="B75" s="11" t="inlineStr">
        <is>
          <t>CAN-11</t>
        </is>
      </c>
      <c r="C75" s="11" t="inlineStr">
        <is>
          <t>Ứng viên</t>
        </is>
      </c>
      <c r="D75" s="11" t="inlineStr">
        <is>
          <t>Nhận thông báo khi đơn đổi trạng thái</t>
        </is>
      </c>
      <c r="E75" s="11" t="inlineStr">
        <is>
          <t>uv1 có đơn Đã nộp; uv1 đang mở web</t>
        </is>
      </c>
      <c r="F75" s="11" t="inlineStr">
        <is>
          <t>–</t>
        </is>
      </c>
      <c r="G75" s="11" t="inlineStr">
        <is>
          <t>1. ntd1 chuyển đơn sang Phù hợp
2. Quan sát chuông thông báo của uv1</t>
        </is>
      </c>
      <c r="H75" s="11" t="inlineStr">
        <is>
          <t>Chuông tăng số ngay (không tải lại); nội dung đúng tin, đúng trạng thái; email gửi nếu NTD chọn</t>
        </is>
      </c>
      <c r="I75" s="11" t="inlineStr">
        <is>
          <t>P0</t>
        </is>
      </c>
      <c r="J75" s="11" t="inlineStr">
        <is>
          <t>Chức năng</t>
        </is>
      </c>
      <c r="K75" s="11" t="inlineStr"/>
      <c r="L75" s="11" t="inlineStr">
        <is>
          <t>Chưa chạy</t>
        </is>
      </c>
      <c r="M75" s="11" t="inlineStr"/>
      <c r="N75" s="11" t="inlineStr"/>
      <c r="O75" s="11" t="inlineStr"/>
      <c r="P75" s="11" t="inlineStr"/>
    </row>
    <row r="76">
      <c r="A76" s="11" t="inlineStr">
        <is>
          <t>TC-CAN11-002</t>
        </is>
      </c>
      <c r="B76" s="11" t="inlineStr">
        <is>
          <t>CAN-11</t>
        </is>
      </c>
      <c r="C76" s="11" t="inlineStr">
        <is>
          <t>Ứng viên</t>
        </is>
      </c>
      <c r="D76" s="11" t="inlineStr">
        <is>
          <t>Đánh dấu đã đọc thông báo</t>
        </is>
      </c>
      <c r="E76" s="11" t="inlineStr">
        <is>
          <t>uv1 có thông báo chưa đọc</t>
        </is>
      </c>
      <c r="F76" s="11" t="inlineStr">
        <is>
          <t>–</t>
        </is>
      </c>
      <c r="G76" s="11" t="inlineStr">
        <is>
          <t>1. Mở /notifications
2. Bấm 1 thông báo
3. Bấm Đánh dấu tất cả đã đọc</t>
        </is>
      </c>
      <c r="H76" s="11" t="inlineStr">
        <is>
          <t>Số chưa đọc giảm đúng; bấm thông báo đi tới trang liên quan</t>
        </is>
      </c>
      <c r="I76" s="11" t="inlineStr">
        <is>
          <t>P1</t>
        </is>
      </c>
      <c r="J76" s="11" t="inlineStr">
        <is>
          <t>Chức năng</t>
        </is>
      </c>
      <c r="K76" s="11" t="inlineStr"/>
      <c r="L76" s="11" t="inlineStr">
        <is>
          <t>Chưa chạy</t>
        </is>
      </c>
      <c r="M76" s="11" t="inlineStr"/>
      <c r="N76" s="11" t="inlineStr"/>
      <c r="O76" s="11" t="inlineStr"/>
      <c r="P76" s="11" t="inlineStr"/>
    </row>
    <row r="77">
      <c r="A77" s="11" t="inlineStr">
        <is>
          <t>TC-CAN11-003</t>
        </is>
      </c>
      <c r="B77" s="11" t="inlineStr">
        <is>
          <t>CAN-11</t>
        </is>
      </c>
      <c r="C77" s="11" t="inlineStr">
        <is>
          <t>Ứng viên</t>
        </is>
      </c>
      <c r="D77" s="11" t="inlineStr">
        <is>
          <t>Không gửi email khi NTD bỏ chọn</t>
        </is>
      </c>
      <c r="E77" s="11" t="inlineStr">
        <is>
          <t>ntd1 xử lý đơn của uv1</t>
        </is>
      </c>
      <c r="F77" s="11" t="inlineStr">
        <is>
          <t>Bỏ tick "Gửi email"</t>
        </is>
      </c>
      <c r="G77" s="11" t="inlineStr">
        <is>
          <t>1. Đổi trạng thái đơn với tùy chọn không gửi email</t>
        </is>
      </c>
      <c r="H77" s="11" t="inlineStr">
        <is>
          <t>uv1 vẫn nhận thông báo trong web; không có email mới</t>
        </is>
      </c>
      <c r="I77" s="11" t="inlineStr">
        <is>
          <t>P2</t>
        </is>
      </c>
      <c r="J77" s="11" t="inlineStr">
        <is>
          <t>Chức năng</t>
        </is>
      </c>
      <c r="K77" s="11" t="inlineStr"/>
      <c r="L77" s="11" t="inlineStr">
        <is>
          <t>Chưa chạy</t>
        </is>
      </c>
      <c r="M77" s="11" t="inlineStr"/>
      <c r="N77" s="11" t="inlineStr"/>
      <c r="O77" s="11" t="inlineStr"/>
      <c r="P77" s="11" t="inlineStr"/>
    </row>
    <row r="78">
      <c r="A78" s="11" t="inlineStr">
        <is>
          <t>TC-CAN12-001</t>
        </is>
      </c>
      <c r="B78" s="11" t="inlineStr">
        <is>
          <t>CAN-12</t>
        </is>
      </c>
      <c r="C78" s="11" t="inlineStr">
        <is>
          <t>Ứng viên</t>
        </is>
      </c>
      <c r="D78" s="11" t="inlineStr">
        <is>
          <t>Báo cáo tin vi phạm</t>
        </is>
      </c>
      <c r="E78" s="11" t="inlineStr">
        <is>
          <t>uv1 đăng nhập</t>
        </is>
      </c>
      <c r="F78" s="11" t="inlineStr">
        <is>
          <t>Lý do: 1 trong 6 lý do có sẵn; mô tả ngắn</t>
        </is>
      </c>
      <c r="G78" s="11" t="inlineStr">
        <is>
          <t>1. Mở tin
2. Bấm Báo cáo
3. Chọn lý do
4. Gửi</t>
        </is>
      </c>
      <c r="H78" s="11" t="inlineStr">
        <is>
          <t>Báo đã gửi; admin thấy báo cáo mới ở /admin/reports</t>
        </is>
      </c>
      <c r="I78" s="11" t="inlineStr">
        <is>
          <t>P1</t>
        </is>
      </c>
      <c r="J78" s="11" t="inlineStr">
        <is>
          <t>Chức năng</t>
        </is>
      </c>
      <c r="K78" s="11" t="inlineStr"/>
      <c r="L78" s="11" t="inlineStr">
        <is>
          <t>Chưa chạy</t>
        </is>
      </c>
      <c r="M78" s="11" t="inlineStr"/>
      <c r="N78" s="11" t="inlineStr"/>
      <c r="O78" s="11" t="inlineStr"/>
      <c r="P78" s="11" t="inlineStr"/>
    </row>
    <row r="79">
      <c r="A79" s="11" t="inlineStr">
        <is>
          <t>TC-CAN12-002</t>
        </is>
      </c>
      <c r="B79" s="11" t="inlineStr">
        <is>
          <t>CAN-12</t>
        </is>
      </c>
      <c r="C79" s="11" t="inlineStr">
        <is>
          <t>Ứng viên</t>
        </is>
      </c>
      <c r="D79" s="11" t="inlineStr">
        <is>
          <t>Báo cáo trùng</t>
        </is>
      </c>
      <c r="E79" s="11" t="inlineStr">
        <is>
          <t>uv1 đã báo cáo tin X</t>
        </is>
      </c>
      <c r="F79" s="11" t="inlineStr">
        <is>
          <t>–</t>
        </is>
      </c>
      <c r="G79" s="11" t="inlineStr">
        <is>
          <t>1. Báo cáo lại tin X</t>
        </is>
      </c>
      <c r="H79" s="11" t="inlineStr">
        <is>
          <t>Báo "Bạn đã báo cáo nội dung này, chúng tôi đang xem xét"</t>
        </is>
      </c>
      <c r="I79" s="11" t="inlineStr">
        <is>
          <t>P1</t>
        </is>
      </c>
      <c r="J79" s="11" t="inlineStr">
        <is>
          <t>Validate</t>
        </is>
      </c>
      <c r="K79" s="11" t="inlineStr"/>
      <c r="L79" s="11" t="inlineStr">
        <is>
          <t>Chưa chạy</t>
        </is>
      </c>
      <c r="M79" s="11" t="inlineStr"/>
      <c r="N79" s="11" t="inlineStr"/>
      <c r="O79" s="11" t="inlineStr"/>
      <c r="P79" s="11" t="inlineStr"/>
    </row>
    <row r="80">
      <c r="A80" s="11" t="inlineStr">
        <is>
          <t>TC-CAN12-003</t>
        </is>
      </c>
      <c r="B80" s="11" t="inlineStr">
        <is>
          <t>CAN-12</t>
        </is>
      </c>
      <c r="C80" s="11" t="inlineStr">
        <is>
          <t>Ứng viên</t>
        </is>
      </c>
      <c r="D80" s="11" t="inlineStr">
        <is>
          <t>Báo cáo công ty</t>
        </is>
      </c>
      <c r="E80" s="11" t="inlineStr">
        <is>
          <t>uv1 đăng nhập</t>
        </is>
      </c>
      <c r="F80" s="11" t="inlineStr">
        <is>
          <t>–</t>
        </is>
      </c>
      <c r="G80" s="11" t="inlineStr">
        <is>
          <t>1. Mở trang công ty
2. Báo cáo</t>
        </is>
      </c>
      <c r="H80" s="11" t="inlineStr">
        <is>
          <t>Gửi thành công</t>
        </is>
      </c>
      <c r="I80" s="11" t="inlineStr">
        <is>
          <t>P2</t>
        </is>
      </c>
      <c r="J80" s="11" t="inlineStr">
        <is>
          <t>Chức năng</t>
        </is>
      </c>
      <c r="K80" s="11" t="inlineStr"/>
      <c r="L80" s="11" t="inlineStr">
        <is>
          <t>Chưa chạy</t>
        </is>
      </c>
      <c r="M80" s="11" t="inlineStr"/>
      <c r="N80" s="11" t="inlineStr"/>
      <c r="O80" s="11" t="inlineStr"/>
      <c r="P80" s="11" t="inlineStr"/>
    </row>
    <row r="81">
      <c r="A81" s="11" t="inlineStr">
        <is>
          <t>TC-CAN12-004</t>
        </is>
      </c>
      <c r="B81" s="11" t="inlineStr">
        <is>
          <t>CAN-12</t>
        </is>
      </c>
      <c r="C81" s="11" t="inlineStr">
        <is>
          <t>Ứng viên</t>
        </is>
      </c>
      <c r="D81" s="11" t="inlineStr">
        <is>
          <t>Giới hạn 5 báo cáo / 10 phút</t>
        </is>
      </c>
      <c r="E81" s="11" t="inlineStr">
        <is>
          <t>uv1 đăng nhập</t>
        </is>
      </c>
      <c r="F81" s="11" t="inlineStr">
        <is>
          <t>–</t>
        </is>
      </c>
      <c r="G81" s="11" t="inlineStr">
        <is>
          <t>1. Gửi 6 báo cáo (đối tượng khác nhau) trong 10 phút</t>
        </is>
      </c>
      <c r="H81" s="11" t="inlineStr">
        <is>
          <t>Lần 6 bị 429</t>
        </is>
      </c>
      <c r="I81" s="11" t="inlineStr">
        <is>
          <t>P2</t>
        </is>
      </c>
      <c r="J81" s="11" t="inlineStr">
        <is>
          <t>Bảo mật</t>
        </is>
      </c>
      <c r="K81" s="11" t="inlineStr"/>
      <c r="L81" s="11" t="inlineStr">
        <is>
          <t>Chưa chạy</t>
        </is>
      </c>
      <c r="M81" s="11" t="inlineStr"/>
      <c r="N81" s="11" t="inlineStr"/>
      <c r="O81" s="11" t="inlineStr"/>
      <c r="P81" s="11" t="inlineStr"/>
    </row>
    <row r="82">
      <c r="A82" s="11" t="inlineStr">
        <is>
          <t>TC-CAN13-001</t>
        </is>
      </c>
      <c r="B82" s="11" t="inlineStr">
        <is>
          <t>CAN-13</t>
        </is>
      </c>
      <c r="C82" s="11" t="inlineStr">
        <is>
          <t>Ứng viên</t>
        </is>
      </c>
      <c r="D82" s="11" t="inlineStr">
        <is>
          <t>Xem việc làm gợi ý</t>
        </is>
      </c>
      <c r="E82" s="11" t="inlineStr">
        <is>
          <t>uv1 có hồ sơ đủ (kỹ năng, tiêu đề, tỉnh, KN, lương)</t>
        </is>
      </c>
      <c r="F82" s="11" t="inlineStr">
        <is>
          <t>–</t>
        </is>
      </c>
      <c r="G82" s="11" t="inlineStr">
        <is>
          <t>1. Mở /candidate/recommendations</t>
        </is>
      </c>
      <c r="H82" s="11" t="inlineStr">
        <is>
          <t>Danh sách ≤ 20 tin, mỗi tin có % phù hợp ≥ 25, kỹ năng đã có / còn thiếu, cách tính điểm</t>
        </is>
      </c>
      <c r="I82" s="11" t="inlineStr">
        <is>
          <t>P1</t>
        </is>
      </c>
      <c r="J82" s="11" t="inlineStr">
        <is>
          <t>Chức năng</t>
        </is>
      </c>
      <c r="K82" s="11" t="inlineStr"/>
      <c r="L82" s="11" t="inlineStr">
        <is>
          <t>Chưa chạy</t>
        </is>
      </c>
      <c r="M82" s="11" t="inlineStr"/>
      <c r="N82" s="11" t="inlineStr"/>
      <c r="O82" s="11" t="inlineStr"/>
      <c r="P82" s="11" t="inlineStr"/>
    </row>
    <row r="83">
      <c r="A83" s="11" t="inlineStr">
        <is>
          <t>TC-CAN13-002</t>
        </is>
      </c>
      <c r="B83" s="11" t="inlineStr">
        <is>
          <t>CAN-13</t>
        </is>
      </c>
      <c r="C83" s="11" t="inlineStr">
        <is>
          <t>Ứng viên</t>
        </is>
      </c>
      <c r="D83" s="11" t="inlineStr">
        <is>
          <t>Không gợi ý tin đã ứng tuyển</t>
        </is>
      </c>
      <c r="E83" s="11" t="inlineStr">
        <is>
          <t>uv1 đã ứng tuyển tin X đang được gợi ý</t>
        </is>
      </c>
      <c r="F83" s="11" t="inlineStr">
        <is>
          <t>–</t>
        </is>
      </c>
      <c r="G83" s="11" t="inlineStr">
        <is>
          <t>1. Ứng tuyển tin X
2. Mở lại trang gợi ý</t>
        </is>
      </c>
      <c r="H83" s="11" t="inlineStr">
        <is>
          <t>Tin X không còn trong danh sách</t>
        </is>
      </c>
      <c r="I83" s="11" t="inlineStr">
        <is>
          <t>P1</t>
        </is>
      </c>
      <c r="J83" s="11" t="inlineStr">
        <is>
          <t>Chức năng</t>
        </is>
      </c>
      <c r="K83" s="11" t="inlineStr"/>
      <c r="L83" s="11" t="inlineStr">
        <is>
          <t>Chưa chạy</t>
        </is>
      </c>
      <c r="M83" s="11" t="inlineStr"/>
      <c r="N83" s="11" t="inlineStr"/>
      <c r="O83" s="11" t="inlineStr"/>
      <c r="P83" s="11" t="inlineStr"/>
    </row>
    <row r="84">
      <c r="A84" s="11" t="inlineStr">
        <is>
          <t>TC-CAN13-003</t>
        </is>
      </c>
      <c r="B84" s="11" t="inlineStr">
        <is>
          <t>CAN-13</t>
        </is>
      </c>
      <c r="C84" s="11" t="inlineStr">
        <is>
          <t>Ứng viên</t>
        </is>
      </c>
      <c r="D84" s="11" t="inlineStr">
        <is>
          <t>Hồ sơ trống</t>
        </is>
      </c>
      <c r="E84" s="11" t="inlineStr">
        <is>
          <t>Ứng viên mới, hồ sơ trống</t>
        </is>
      </c>
      <c r="F84" s="11" t="inlineStr">
        <is>
          <t>qa.uv01</t>
        </is>
      </c>
      <c r="G84" s="11" t="inlineStr">
        <is>
          <t>1. Mở trang gợi ý</t>
        </is>
      </c>
      <c r="H84" s="11" t="inlineStr">
        <is>
          <t>Hiện gợi ý hoàn thiện hồ sơ; không lỗi</t>
        </is>
      </c>
      <c r="I84" s="11" t="inlineStr">
        <is>
          <t>P1</t>
        </is>
      </c>
      <c r="J84" s="11" t="inlineStr">
        <is>
          <t>Chức năng</t>
        </is>
      </c>
      <c r="K84" s="11" t="inlineStr"/>
      <c r="L84" s="11" t="inlineStr">
        <is>
          <t>Chưa chạy</t>
        </is>
      </c>
      <c r="M84" s="11" t="inlineStr"/>
      <c r="N84" s="11" t="inlineStr"/>
      <c r="O84" s="11" t="inlineStr"/>
      <c r="P84" s="11" t="inlineStr"/>
    </row>
    <row r="85">
      <c r="A85" s="11" t="inlineStr">
        <is>
          <t>TC-CAN13-004</t>
        </is>
      </c>
      <c r="B85" s="11" t="inlineStr">
        <is>
          <t>CAN-13</t>
        </is>
      </c>
      <c r="C85" s="11" t="inlineStr">
        <is>
          <t>Ứng viên</t>
        </is>
      </c>
      <c r="D85" s="11" t="inlineStr">
        <is>
          <t>Điểm tăng khi bổ sung kỹ năng</t>
        </is>
      </c>
      <c r="E85" s="11" t="inlineStr">
        <is>
          <t>uv1 có tin X gợi ý, thiếu kỹ năng K</t>
        </is>
      </c>
      <c r="F85" s="11" t="inlineStr">
        <is>
          <t>–</t>
        </is>
      </c>
      <c r="G85" s="11" t="inlineStr">
        <is>
          <t>1. Ghi lại % của tin X
2. Thêm kỹ năng K vào hồ sơ
3. Mở lại trang gợi ý</t>
        </is>
      </c>
      <c r="H85" s="11" t="inlineStr">
        <is>
          <t>% của tin X tăng; K chuyển sang "đã có"</t>
        </is>
      </c>
      <c r="I85" s="11" t="inlineStr">
        <is>
          <t>P1</t>
        </is>
      </c>
      <c r="J85" s="11" t="inlineStr">
        <is>
          <t>Chức năng</t>
        </is>
      </c>
      <c r="K85" s="11" t="inlineStr"/>
      <c r="L85" s="11" t="inlineStr">
        <is>
          <t>Chưa chạy</t>
        </is>
      </c>
      <c r="M85" s="11" t="inlineStr"/>
      <c r="N85" s="11" t="inlineStr"/>
      <c r="O85" s="11" t="inlineStr"/>
      <c r="P85" s="11" t="inlineStr"/>
    </row>
    <row r="86">
      <c r="A86" s="11" t="inlineStr">
        <is>
          <t>TC-CAN13-005</t>
        </is>
      </c>
      <c r="B86" s="11" t="inlineStr">
        <is>
          <t>CAN-13</t>
        </is>
      </c>
      <c r="C86" s="11" t="inlineStr">
        <is>
          <t>Ứng viên</t>
        </is>
      </c>
      <c r="D86" s="11" t="inlineStr">
        <is>
          <t>Nhận xét AI khi có API key</t>
        </is>
      </c>
      <c r="E86" s="11" t="inlineStr">
        <is>
          <t>Đã cấu hình ANTHROPIC_API_KEY</t>
        </is>
      </c>
      <c r="F86" s="11" t="inlineStr">
        <is>
          <t>–</t>
        </is>
      </c>
      <c r="G86" s="11" t="inlineStr">
        <is>
          <t>1. Mở trang gợi ý
2. Bấm lấy nhận xét AI</t>
        </is>
      </c>
      <c r="H86" s="11" t="inlineStr">
        <is>
          <t>Có nhận xét chung + lý do cho từng tin; ghi rõ nội dung do AI tạo, chỉ tham khảo</t>
        </is>
      </c>
      <c r="I86" s="11" t="inlineStr">
        <is>
          <t>P2</t>
        </is>
      </c>
      <c r="J86" s="11" t="inlineStr">
        <is>
          <t>Chức năng</t>
        </is>
      </c>
      <c r="K86" s="11" t="inlineStr"/>
      <c r="L86" s="11" t="inlineStr">
        <is>
          <t>Chưa chạy</t>
        </is>
      </c>
      <c r="M86" s="11" t="inlineStr"/>
      <c r="N86" s="11" t="inlineStr"/>
      <c r="O86" s="11" t="inlineStr"/>
      <c r="P86" s="11" t="inlineStr"/>
    </row>
    <row r="87">
      <c r="A87" s="11" t="inlineStr">
        <is>
          <t>TC-CAN13-006</t>
        </is>
      </c>
      <c r="B87" s="11" t="inlineStr">
        <is>
          <t>CAN-13</t>
        </is>
      </c>
      <c r="C87" s="11" t="inlineStr">
        <is>
          <t>Ứng viên</t>
        </is>
      </c>
      <c r="D87" s="11" t="inlineStr">
        <is>
          <t>Không có API key / AI lỗi</t>
        </is>
      </c>
      <c r="E87" s="11" t="inlineStr">
        <is>
          <t>Chưa cấu hình ANTHROPIC_API_KEY</t>
        </is>
      </c>
      <c r="F87" s="11" t="inlineStr">
        <is>
          <t>–</t>
        </is>
      </c>
      <c r="G87" s="11" t="inlineStr">
        <is>
          <t>1. Mở trang gợi ý</t>
        </is>
      </c>
      <c r="H87" s="11" t="inlineStr">
        <is>
          <t>Danh sách vẫn hiển thị bình thường; phần AI ẩn hoặc báo không khả dụng</t>
        </is>
      </c>
      <c r="I87" s="11" t="inlineStr">
        <is>
          <t>P2</t>
        </is>
      </c>
      <c r="J87" s="11" t="inlineStr">
        <is>
          <t>Chức năng</t>
        </is>
      </c>
      <c r="K87" s="11" t="inlineStr"/>
      <c r="L87" s="11" t="inlineStr">
        <is>
          <t>Chưa chạy</t>
        </is>
      </c>
      <c r="M87" s="11" t="inlineStr"/>
      <c r="N87" s="11" t="inlineStr"/>
      <c r="O87" s="11" t="inlineStr"/>
      <c r="P87" s="11" t="inlineStr"/>
    </row>
    <row r="88">
      <c r="A88" s="11" t="inlineStr">
        <is>
          <t>TC-CAN13-007</t>
        </is>
      </c>
      <c r="B88" s="11" t="inlineStr">
        <is>
          <t>CAN-13</t>
        </is>
      </c>
      <c r="C88" s="11" t="inlineStr">
        <is>
          <t>Ứng viên</t>
        </is>
      </c>
      <c r="D88" s="11" t="inlineStr">
        <is>
          <t>Dữ liệu gửi AI đã ẩn danh</t>
        </is>
      </c>
      <c r="E88" s="11" t="inlineStr">
        <is>
          <t>Có API key; xem log/request</t>
        </is>
      </c>
      <c r="F88" s="11" t="inlineStr">
        <is>
          <t>–</t>
        </is>
      </c>
      <c r="G88" s="11" t="inlineStr">
        <is>
          <t>1. Lấy nhận xét AI
2. Kiểm tra payload gửi đi (log dev)</t>
        </is>
      </c>
      <c r="H88" s="11" t="inlineStr">
        <is>
          <t>Không có họ tên, email, SĐT, địa chỉ trong dữ liệu gửi</t>
        </is>
      </c>
      <c r="I88" s="11" t="inlineStr">
        <is>
          <t>P2</t>
        </is>
      </c>
      <c r="J88" s="11" t="inlineStr">
        <is>
          <t>Bảo mật</t>
        </is>
      </c>
      <c r="K88" s="11" t="inlineStr"/>
      <c r="L88" s="11" t="inlineStr">
        <is>
          <t>Chưa chạy</t>
        </is>
      </c>
      <c r="M88" s="11" t="inlineStr"/>
      <c r="N88" s="11" t="inlineStr"/>
      <c r="O88" s="11" t="inlineStr"/>
      <c r="P88" s="11" t="inlineStr"/>
    </row>
    <row r="89">
      <c r="A89" s="11" t="inlineStr">
        <is>
          <t>TC-CAN13-008</t>
        </is>
      </c>
      <c r="B89" s="11" t="inlineStr">
        <is>
          <t>CAN-13</t>
        </is>
      </c>
      <c r="C89" s="11" t="inlineStr">
        <is>
          <t>Ứng viên</t>
        </is>
      </c>
      <c r="D89" s="11" t="inlineStr">
        <is>
          <t>Giới hạn 10 lần nhận xét AI / giờ</t>
        </is>
      </c>
      <c r="E89" s="11" t="inlineStr">
        <is>
          <t>Có API key</t>
        </is>
      </c>
      <c r="F89" s="11" t="inlineStr">
        <is>
          <t>–</t>
        </is>
      </c>
      <c r="G89" s="11" t="inlineStr">
        <is>
          <t>1. Bấm làm mới nhận xét AI 11 lần trong 1 giờ</t>
        </is>
      </c>
      <c r="H89" s="11" t="inlineStr">
        <is>
          <t>Lần 11 bị từ chối 429; danh sách điểm vẫn hiển thị</t>
        </is>
      </c>
      <c r="I89" s="11" t="inlineStr">
        <is>
          <t>P2</t>
        </is>
      </c>
      <c r="J89" s="11" t="inlineStr">
        <is>
          <t>Bảo mật</t>
        </is>
      </c>
      <c r="K89" s="11" t="inlineStr"/>
      <c r="L89" s="11" t="inlineStr">
        <is>
          <t>Chưa chạy</t>
        </is>
      </c>
      <c r="M89" s="11" t="inlineStr"/>
      <c r="N89" s="11" t="inlineStr"/>
      <c r="O89" s="11" t="inlineStr"/>
      <c r="P89" s="11" t="inlineStr"/>
    </row>
    <row r="90">
      <c r="A90" s="11" t="inlineStr">
        <is>
          <t>TC-CAN13-009</t>
        </is>
      </c>
      <c r="B90" s="11" t="inlineStr">
        <is>
          <t>CAN-13</t>
        </is>
      </c>
      <c r="C90" s="11" t="inlineStr">
        <is>
          <t>Ứng viên</t>
        </is>
      </c>
      <c r="D90" s="11" t="inlineStr">
        <is>
          <t>NTD / khách không vào được trang gợi ý</t>
        </is>
      </c>
      <c r="E90" s="11" t="inlineStr">
        <is>
          <t>ntd1 đăng nhập</t>
        </is>
      </c>
      <c r="F90" s="11" t="inlineStr">
        <is>
          <t>–</t>
        </is>
      </c>
      <c r="G90" s="11" t="inlineStr">
        <is>
          <t>1. Mở /candidate/recommendations</t>
        </is>
      </c>
      <c r="H90" s="11" t="inlineStr">
        <is>
          <t>Bị chặn (403 / chuyển trang)</t>
        </is>
      </c>
      <c r="I90" s="11" t="inlineStr">
        <is>
          <t>P1</t>
        </is>
      </c>
      <c r="J90" s="11" t="inlineStr">
        <is>
          <t>Phân quyền</t>
        </is>
      </c>
      <c r="K90" s="11" t="inlineStr"/>
      <c r="L90" s="11" t="inlineStr">
        <is>
          <t>Chưa chạy</t>
        </is>
      </c>
      <c r="M90" s="11" t="inlineStr"/>
      <c r="N90" s="11" t="inlineStr"/>
      <c r="O90" s="11" t="inlineStr"/>
      <c r="P90" s="11" t="inlineStr"/>
    </row>
  </sheetData>
  <autoFilter ref="A1:P90"/>
  <conditionalFormatting sqref="L2:L9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"Skip"</formula>
    </cfRule>
  </conditionalFormatting>
  <dataValidations count="1">
    <dataValidation sqref="L2:L90" showDropDown="0" showInputMessage="0" showErrorMessage="0" allowBlank="1" type="list">
      <formula1>"Chưa chạy,Pass,Fail,Blocked,Skip"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38" customWidth="1" min="4" max="4"/>
    <col width="32" customWidth="1" min="5" max="5"/>
    <col width="32" customWidth="1" min="6" max="6"/>
    <col width="48" customWidth="1" min="7" max="7"/>
    <col width="52" customWidth="1" min="8" max="8"/>
    <col width="8" customWidth="1" min="9" max="9"/>
    <col width="12" customWidth="1" min="10" max="10"/>
    <col width="30" customWidth="1" min="11" max="11"/>
    <col width="12" customWidth="1" min="12" max="12"/>
    <col width="12" customWidth="1" min="13" max="13"/>
    <col width="12" customWidth="1" min="14" max="14"/>
    <col width="10" customWidth="1" min="15" max="15"/>
    <col width="20" customWidth="1" min="16" max="16"/>
  </cols>
  <sheetData>
    <row r="1">
      <c r="A1" s="10" t="inlineStr">
        <is>
          <t>Mã TC</t>
        </is>
      </c>
      <c r="B1" s="10" t="inlineStr">
        <is>
          <t>Mã yêu cầu</t>
        </is>
      </c>
      <c r="C1" s="10" t="inlineStr">
        <is>
          <t>Module</t>
        </is>
      </c>
      <c r="D1" s="10" t="inlineStr">
        <is>
          <t>Tiêu đề</t>
        </is>
      </c>
      <c r="E1" s="10" t="inlineStr">
        <is>
          <t>Tiền điều kiện</t>
        </is>
      </c>
      <c r="F1" s="10" t="inlineStr">
        <is>
          <t>Dữ liệu test</t>
        </is>
      </c>
      <c r="G1" s="10" t="inlineStr">
        <is>
          <t>Các bước</t>
        </is>
      </c>
      <c r="H1" s="10" t="inlineStr">
        <is>
          <t>Kết quả mong đợi</t>
        </is>
      </c>
      <c r="I1" s="10" t="inlineStr">
        <is>
          <t>Ưu tiên</t>
        </is>
      </c>
      <c r="J1" s="10" t="inlineStr">
        <is>
          <t>Loại</t>
        </is>
      </c>
      <c r="K1" s="10" t="inlineStr">
        <is>
          <t>Kết quả thực tế</t>
        </is>
      </c>
      <c r="L1" s="10" t="inlineStr">
        <is>
          <t>Trạng thái</t>
        </is>
      </c>
      <c r="M1" s="10" t="inlineStr">
        <is>
          <t>Người test</t>
        </is>
      </c>
      <c r="N1" s="10" t="inlineStr">
        <is>
          <t>Ngày test</t>
        </is>
      </c>
      <c r="O1" s="10" t="inlineStr">
        <is>
          <t>Mã bug</t>
        </is>
      </c>
      <c r="P1" s="10" t="inlineStr">
        <is>
          <t>Ghi chú</t>
        </is>
      </c>
    </row>
    <row r="2">
      <c r="A2" s="11" t="inlineStr">
        <is>
          <t>TC-EMP01-001</t>
        </is>
      </c>
      <c r="B2" s="11" t="inlineStr">
        <is>
          <t>EMP-01</t>
        </is>
      </c>
      <c r="C2" s="11" t="inlineStr">
        <is>
          <t>Nhà tuyển dụng</t>
        </is>
      </c>
      <c r="D2" s="11" t="inlineStr">
        <is>
          <t>Tạo hồ sơ công ty</t>
        </is>
      </c>
      <c r="E2" s="11" t="inlineStr">
        <is>
          <t>qa.ntd01 mới đăng ký, chưa có công ty</t>
        </is>
      </c>
      <c r="F2" s="11" t="inlineStr">
        <is>
          <t>Tên: QA Company; MST: 0101234567; Quy mô: 25–99; Website: https://qa.test; Tỉnh: Hà Nội</t>
        </is>
      </c>
      <c r="G2" s="11" t="inlineStr">
        <is>
          <t>1. Mở /employer/company
2. Nhập thông tin
3. Bấm Tạo hồ sơ công ty</t>
        </is>
      </c>
      <c r="H2" s="11" t="inlineStr">
        <is>
          <t>Tạo thành công; có link "Xem trang công khai"; qa.ntd01 là Chủ công ty</t>
        </is>
      </c>
      <c r="I2" s="11" t="inlineStr">
        <is>
          <t>P0</t>
        </is>
      </c>
      <c r="J2" s="11" t="inlineStr">
        <is>
          <t>Chức năng</t>
        </is>
      </c>
      <c r="K2" s="11" t="inlineStr"/>
      <c r="L2" s="11" t="inlineStr">
        <is>
          <t>Chưa chạy</t>
        </is>
      </c>
      <c r="M2" s="11" t="inlineStr"/>
      <c r="N2" s="11" t="inlineStr"/>
      <c r="O2" s="11" t="inlineStr"/>
      <c r="P2" s="11" t="inlineStr"/>
    </row>
    <row r="3">
      <c r="A3" s="11" t="inlineStr">
        <is>
          <t>TC-EMP01-002</t>
        </is>
      </c>
      <c r="B3" s="11" t="inlineStr">
        <is>
          <t>EMP-01</t>
        </is>
      </c>
      <c r="C3" s="11" t="inlineStr">
        <is>
          <t>Nhà tuyển dụng</t>
        </is>
      </c>
      <c r="D3" s="11" t="inlineStr">
        <is>
          <t>Bỏ trống tên công ty</t>
        </is>
      </c>
      <c r="E3" s="11" t="inlineStr">
        <is>
          <t>qa.ntd01 chưa có công ty</t>
        </is>
      </c>
      <c r="F3" s="11" t="inlineStr">
        <is>
          <t>Tên: trống</t>
        </is>
      </c>
      <c r="G3" s="11" t="inlineStr">
        <is>
          <t>1. Bấm Tạo hồ sơ công ty</t>
        </is>
      </c>
      <c r="H3" s="11" t="inlineStr">
        <is>
          <t>Báo "Vui lòng nhập tên công ty"</t>
        </is>
      </c>
      <c r="I3" s="11" t="inlineStr">
        <is>
          <t>P0</t>
        </is>
      </c>
      <c r="J3" s="11" t="inlineStr">
        <is>
          <t>Validate</t>
        </is>
      </c>
      <c r="K3" s="11" t="inlineStr"/>
      <c r="L3" s="11" t="inlineStr">
        <is>
          <t>Chưa chạy</t>
        </is>
      </c>
      <c r="M3" s="11" t="inlineStr"/>
      <c r="N3" s="11" t="inlineStr"/>
      <c r="O3" s="11" t="inlineStr"/>
      <c r="P3" s="11" t="inlineStr"/>
    </row>
    <row r="4">
      <c r="A4" s="11" t="inlineStr">
        <is>
          <t>TC-EMP01-003</t>
        </is>
      </c>
      <c r="B4" s="11" t="inlineStr">
        <is>
          <t>EMP-01</t>
        </is>
      </c>
      <c r="C4" s="11" t="inlineStr">
        <is>
          <t>Nhà tuyển dụng</t>
        </is>
      </c>
      <c r="D4" s="11" t="inlineStr">
        <is>
          <t>Mã số thuế sai định dạng</t>
        </is>
      </c>
      <c r="E4" s="11" t="inlineStr">
        <is>
          <t>ntd1 đăng nhập</t>
        </is>
      </c>
      <c r="F4" s="11" t="inlineStr">
        <is>
          <t>MST: 12345 ; 01012345678 ; 0101234567-12</t>
        </is>
      </c>
      <c r="G4" s="11" t="inlineStr">
        <is>
          <t>1. Nhập từng MST
2. Lưu</t>
        </is>
      </c>
      <c r="H4" s="11" t="inlineStr">
        <is>
          <t>Báo "Mã số thuế gồm 10 số (hoặc 10 số-3 số)"; 0101234567-001 hợp lệ</t>
        </is>
      </c>
      <c r="I4" s="11" t="inlineStr">
        <is>
          <t>P1</t>
        </is>
      </c>
      <c r="J4" s="11" t="inlineStr">
        <is>
          <t>Validate</t>
        </is>
      </c>
      <c r="K4" s="11" t="inlineStr"/>
      <c r="L4" s="11" t="inlineStr">
        <is>
          <t>Chưa chạy</t>
        </is>
      </c>
      <c r="M4" s="11" t="inlineStr"/>
      <c r="N4" s="11" t="inlineStr"/>
      <c r="O4" s="11" t="inlineStr"/>
      <c r="P4" s="11" t="inlineStr"/>
    </row>
    <row r="5">
      <c r="A5" s="11" t="inlineStr">
        <is>
          <t>TC-EMP01-004</t>
        </is>
      </c>
      <c r="B5" s="11" t="inlineStr">
        <is>
          <t>EMP-01</t>
        </is>
      </c>
      <c r="C5" s="11" t="inlineStr">
        <is>
          <t>Nhà tuyển dụng</t>
        </is>
      </c>
      <c r="D5" s="11" t="inlineStr">
        <is>
          <t>Website thiếu http(s)</t>
        </is>
      </c>
      <c r="E5" s="11" t="inlineStr">
        <is>
          <t>ntd1 đăng nhập</t>
        </is>
      </c>
      <c r="F5" s="11" t="inlineStr">
        <is>
          <t>Website: qa.test</t>
        </is>
      </c>
      <c r="G5" s="11" t="inlineStr">
        <is>
          <t>1. Nhập website
2. Lưu</t>
        </is>
      </c>
      <c r="H5" s="11" t="inlineStr">
        <is>
          <t>Báo "Website phải bắt đầu bằng http:// hoặc https://"</t>
        </is>
      </c>
      <c r="I5" s="11" t="inlineStr">
        <is>
          <t>P1</t>
        </is>
      </c>
      <c r="J5" s="11" t="inlineStr">
        <is>
          <t>Validate</t>
        </is>
      </c>
      <c r="K5" s="11" t="inlineStr"/>
      <c r="L5" s="11" t="inlineStr">
        <is>
          <t>Chưa chạy</t>
        </is>
      </c>
      <c r="M5" s="11" t="inlineStr"/>
      <c r="N5" s="11" t="inlineStr"/>
      <c r="O5" s="11" t="inlineStr"/>
      <c r="P5" s="11" t="inlineStr"/>
    </row>
    <row r="6">
      <c r="A6" s="11" t="inlineStr">
        <is>
          <t>TC-EMP01-005</t>
        </is>
      </c>
      <c r="B6" s="11" t="inlineStr">
        <is>
          <t>EMP-01</t>
        </is>
      </c>
      <c r="C6" s="11" t="inlineStr">
        <is>
          <t>Nhà tuyển dụng</t>
        </is>
      </c>
      <c r="D6" s="11" t="inlineStr">
        <is>
          <t>Sửa hồ sơ công ty</t>
        </is>
      </c>
      <c r="E6" s="11" t="inlineStr">
        <is>
          <t>ntd1 (Chủ) đăng nhập</t>
        </is>
      </c>
      <c r="F6" s="11" t="inlineStr">
        <is>
          <t>Địa chỉ mới</t>
        </is>
      </c>
      <c r="G6" s="11" t="inlineStr">
        <is>
          <t>1. Sửa địa chỉ, giới thiệu
2. Lưu
3. Mở trang công khai</t>
        </is>
      </c>
      <c r="H6" s="11" t="inlineStr">
        <is>
          <t>Thông tin mới hiển thị ở trang công khai</t>
        </is>
      </c>
      <c r="I6" s="11" t="inlineStr">
        <is>
          <t>P0</t>
        </is>
      </c>
      <c r="J6" s="11" t="inlineStr">
        <is>
          <t>Chức năng</t>
        </is>
      </c>
      <c r="K6" s="11" t="inlineStr"/>
      <c r="L6" s="11" t="inlineStr">
        <is>
          <t>Chưa chạy</t>
        </is>
      </c>
      <c r="M6" s="11" t="inlineStr"/>
      <c r="N6" s="11" t="inlineStr"/>
      <c r="O6" s="11" t="inlineStr"/>
      <c r="P6" s="11" t="inlineStr"/>
    </row>
    <row r="7">
      <c r="A7" s="11" t="inlineStr">
        <is>
          <t>TC-EMP01-006</t>
        </is>
      </c>
      <c r="B7" s="11" t="inlineStr">
        <is>
          <t>EMP-01</t>
        </is>
      </c>
      <c r="C7" s="11" t="inlineStr">
        <is>
          <t>Nhà tuyển dụng</t>
        </is>
      </c>
      <c r="D7" s="11" t="inlineStr">
        <is>
          <t>Đổi logo và ảnh bìa</t>
        </is>
      </c>
      <c r="E7" s="11" t="inlineStr">
        <is>
          <t>ntd1 đăng nhập</t>
        </is>
      </c>
      <c r="F7" s="11" t="inlineStr">
        <is>
          <t>logo.png 1MB; cover.jpg 2,5MB</t>
        </is>
      </c>
      <c r="G7" s="11" t="inlineStr">
        <is>
          <t>1. Bấm Đổi logo
2. Bấm Đổi ảnh bìa</t>
        </is>
      </c>
      <c r="H7" s="11" t="inlineStr">
        <is>
          <t>Ảnh mới hiển thị ở trang quản lý, trang công ty, thẻ tin</t>
        </is>
      </c>
      <c r="I7" s="11" t="inlineStr">
        <is>
          <t>P1</t>
        </is>
      </c>
      <c r="J7" s="11" t="inlineStr">
        <is>
          <t>Chức năng</t>
        </is>
      </c>
      <c r="K7" s="11" t="inlineStr"/>
      <c r="L7" s="11" t="inlineStr">
        <is>
          <t>Chưa chạy</t>
        </is>
      </c>
      <c r="M7" s="11" t="inlineStr"/>
      <c r="N7" s="11" t="inlineStr"/>
      <c r="O7" s="11" t="inlineStr"/>
      <c r="P7" s="11" t="inlineStr"/>
    </row>
    <row r="8">
      <c r="A8" s="11" t="inlineStr">
        <is>
          <t>TC-EMP01-007</t>
        </is>
      </c>
      <c r="B8" s="11" t="inlineStr">
        <is>
          <t>EMP-01</t>
        </is>
      </c>
      <c r="C8" s="11" t="inlineStr">
        <is>
          <t>Nhà tuyển dụng</t>
        </is>
      </c>
      <c r="D8" s="11" t="inlineStr">
        <is>
          <t>Logo &gt; 2MB / ảnh bìa &gt; 3MB</t>
        </is>
      </c>
      <c r="E8" s="11" t="inlineStr">
        <is>
          <t>ntd1 đăng nhập</t>
        </is>
      </c>
      <c r="F8" s="11" t="inlineStr">
        <is>
          <t>logo 2,1MB; cover 3,1MB</t>
        </is>
      </c>
      <c r="G8" s="11" t="inlineStr">
        <is>
          <t>1. Tải từng file</t>
        </is>
      </c>
      <c r="H8" s="11" t="inlineStr">
        <is>
          <t>Báo "File tối đa 2MB" / "File tối đa 3MB"</t>
        </is>
      </c>
      <c r="I8" s="11" t="inlineStr">
        <is>
          <t>P1</t>
        </is>
      </c>
      <c r="J8" s="11" t="inlineStr">
        <is>
          <t>Biên</t>
        </is>
      </c>
      <c r="K8" s="11" t="inlineStr"/>
      <c r="L8" s="11" t="inlineStr">
        <is>
          <t>Chưa chạy</t>
        </is>
      </c>
      <c r="M8" s="11" t="inlineStr"/>
      <c r="N8" s="11" t="inlineStr"/>
      <c r="O8" s="11" t="inlineStr"/>
      <c r="P8" s="11" t="inlineStr"/>
    </row>
    <row r="9">
      <c r="A9" s="11" t="inlineStr">
        <is>
          <t>TC-EMP01-008</t>
        </is>
      </c>
      <c r="B9" s="11" t="inlineStr">
        <is>
          <t>EMP-01</t>
        </is>
      </c>
      <c r="C9" s="11" t="inlineStr">
        <is>
          <t>Nhà tuyển dụng</t>
        </is>
      </c>
      <c r="D9" s="11" t="inlineStr">
        <is>
          <t>Mô tả công ty chứa script</t>
        </is>
      </c>
      <c r="E9" s="11" t="inlineStr">
        <is>
          <t>ntd1 đăng nhập</t>
        </is>
      </c>
      <c r="F9" s="11" t="inlineStr">
        <is>
          <t>&lt;img src=x onerror=alert(1)&gt;</t>
        </is>
      </c>
      <c r="G9" s="11" t="inlineStr">
        <is>
          <t>1. Lưu giới thiệu
2. Mở trang công ty công khai</t>
        </is>
      </c>
      <c r="H9" s="11" t="inlineStr">
        <is>
          <t>Không chạy script</t>
        </is>
      </c>
      <c r="I9" s="11" t="inlineStr">
        <is>
          <t>P1</t>
        </is>
      </c>
      <c r="J9" s="11" t="inlineStr">
        <is>
          <t>Bảo mật</t>
        </is>
      </c>
      <c r="K9" s="11" t="inlineStr"/>
      <c r="L9" s="11" t="inlineStr">
        <is>
          <t>Chưa chạy</t>
        </is>
      </c>
      <c r="M9" s="11" t="inlineStr"/>
      <c r="N9" s="11" t="inlineStr"/>
      <c r="O9" s="11" t="inlineStr"/>
      <c r="P9" s="11" t="inlineStr"/>
    </row>
    <row r="10">
      <c r="A10" s="11" t="inlineStr">
        <is>
          <t>TC-EMP02-001</t>
        </is>
      </c>
      <c r="B10" s="11" t="inlineStr">
        <is>
          <t>EMP-02</t>
        </is>
      </c>
      <c r="C10" s="11" t="inlineStr">
        <is>
          <t>Nhà tuyển dụng</t>
        </is>
      </c>
      <c r="D10" s="11" t="inlineStr">
        <is>
          <t>Gửi giấy phép kinh doanh</t>
        </is>
      </c>
      <c r="E10" s="11" t="inlineStr">
        <is>
          <t>Công ty ntd2 UNVERIFIED, có MST</t>
        </is>
      </c>
      <c r="F10" s="11" t="inlineStr">
        <is>
          <t>gpkd.pdf 1MB</t>
        </is>
      </c>
      <c r="G10" s="11" t="inlineStr">
        <is>
          <t>1. Mở Hồ sơ công ty
2. Bấm Gửi giấy phép
3. Chọn file</t>
        </is>
      </c>
      <c r="H10" s="11" t="inlineStr">
        <is>
          <t>Trạng thái → Chờ xác minh; hiện "Hồ sơ đang được quản trị viên xem xét"</t>
        </is>
      </c>
      <c r="I10" s="11" t="inlineStr">
        <is>
          <t>P0</t>
        </is>
      </c>
      <c r="J10" s="11" t="inlineStr">
        <is>
          <t>Chức năng</t>
        </is>
      </c>
      <c r="K10" s="11" t="inlineStr"/>
      <c r="L10" s="11" t="inlineStr">
        <is>
          <t>Chưa chạy</t>
        </is>
      </c>
      <c r="M10" s="11" t="inlineStr"/>
      <c r="N10" s="11" t="inlineStr"/>
      <c r="O10" s="11" t="inlineStr"/>
      <c r="P10" s="11" t="inlineStr"/>
    </row>
    <row r="11">
      <c r="A11" s="11" t="inlineStr">
        <is>
          <t>TC-EMP02-002</t>
        </is>
      </c>
      <c r="B11" s="11" t="inlineStr">
        <is>
          <t>EMP-02</t>
        </is>
      </c>
      <c r="C11" s="11" t="inlineStr">
        <is>
          <t>Nhà tuyển dụng</t>
        </is>
      </c>
      <c r="D11" s="11" t="inlineStr">
        <is>
          <t>Khóa tên và MST khi đang chờ / đã xác minh</t>
        </is>
      </c>
      <c r="E11" s="11" t="inlineStr">
        <is>
          <t>Công ty ở PENDING hoặc VERIFIED</t>
        </is>
      </c>
      <c r="F11" s="11" t="inlineStr">
        <is>
          <t>–</t>
        </is>
      </c>
      <c r="G11" s="11" t="inlineStr">
        <is>
          <t>1. Mở form công ty
2. Thử sửa tên, MST; gọi API PATCH đổi tên</t>
        </is>
      </c>
      <c r="H11" s="11" t="inlineStr">
        <is>
          <t>Ô tên/MST bị khóa có ghi chú; API không đổi tên/MST</t>
        </is>
      </c>
      <c r="I11" s="11" t="inlineStr">
        <is>
          <t>P0</t>
        </is>
      </c>
      <c r="J11" s="11" t="inlineStr">
        <is>
          <t>Trạng thái</t>
        </is>
      </c>
      <c r="K11" s="11" t="inlineStr"/>
      <c r="L11" s="11" t="inlineStr">
        <is>
          <t>Chưa chạy</t>
        </is>
      </c>
      <c r="M11" s="11" t="inlineStr"/>
      <c r="N11" s="11" t="inlineStr"/>
      <c r="O11" s="11" t="inlineStr"/>
      <c r="P11" s="11" t="inlineStr"/>
    </row>
    <row r="12">
      <c r="A12" s="11" t="inlineStr">
        <is>
          <t>TC-EMP02-003</t>
        </is>
      </c>
      <c r="B12" s="11" t="inlineStr">
        <is>
          <t>EMP-02</t>
        </is>
      </c>
      <c r="C12" s="11" t="inlineStr">
        <is>
          <t>Nhà tuyển dụng</t>
        </is>
      </c>
      <c r="D12" s="11" t="inlineStr">
        <is>
          <t>Giấy phép sai định dạng / quá 5MB</t>
        </is>
      </c>
      <c r="E12" s="11" t="inlineStr">
        <is>
          <t>Công ty UNVERIFIED</t>
        </is>
      </c>
      <c r="F12" s="11" t="inlineStr">
        <is>
          <t>gpkd.docx; gpkd.pdf 5,1MB</t>
        </is>
      </c>
      <c r="G12" s="11" t="inlineStr">
        <is>
          <t>1. Gửi từng file</t>
        </is>
      </c>
      <c r="H12" s="11" t="inlineStr">
        <is>
          <t>Báo chỉ chấp nhận PDF/JPG/PNG; báo "File tối đa 5MB"</t>
        </is>
      </c>
      <c r="I12" s="11" t="inlineStr">
        <is>
          <t>P1</t>
        </is>
      </c>
      <c r="J12" s="11" t="inlineStr">
        <is>
          <t>Validate</t>
        </is>
      </c>
      <c r="K12" s="11" t="inlineStr"/>
      <c r="L12" s="11" t="inlineStr">
        <is>
          <t>Chưa chạy</t>
        </is>
      </c>
      <c r="M12" s="11" t="inlineStr"/>
      <c r="N12" s="11" t="inlineStr"/>
      <c r="O12" s="11" t="inlineStr"/>
      <c r="P12" s="11" t="inlineStr"/>
    </row>
    <row r="13">
      <c r="A13" s="11" t="inlineStr">
        <is>
          <t>TC-EMP02-004</t>
        </is>
      </c>
      <c r="B13" s="11" t="inlineStr">
        <is>
          <t>EMP-02</t>
        </is>
      </c>
      <c r="C13" s="11" t="inlineStr">
        <is>
          <t>Nhà tuyển dụng</t>
        </is>
      </c>
      <c r="D13" s="11" t="inlineStr">
        <is>
          <t>Gửi lại sau khi bị từ chối</t>
        </is>
      </c>
      <c r="E13" s="11" t="inlineStr">
        <is>
          <t>Công ty REJECTED kèm lý do</t>
        </is>
      </c>
      <c r="F13" s="11" t="inlineStr">
        <is>
          <t>gpkd-moi.pdf</t>
        </is>
      </c>
      <c r="G13" s="11" t="inlineStr">
        <is>
          <t>1. Xem lý do từ chối
2. Gửi lại giấy phép</t>
        </is>
      </c>
      <c r="H13" s="11" t="inlineStr">
        <is>
          <t>Hiện lý do từ chối; gửi lại được, trạng thái → Chờ xác minh</t>
        </is>
      </c>
      <c r="I13" s="11" t="inlineStr">
        <is>
          <t>P1</t>
        </is>
      </c>
      <c r="J13" s="11" t="inlineStr">
        <is>
          <t>Trạng thái</t>
        </is>
      </c>
      <c r="K13" s="11" t="inlineStr"/>
      <c r="L13" s="11" t="inlineStr">
        <is>
          <t>Chưa chạy</t>
        </is>
      </c>
      <c r="M13" s="11" t="inlineStr"/>
      <c r="N13" s="11" t="inlineStr"/>
      <c r="O13" s="11" t="inlineStr"/>
      <c r="P13" s="11" t="inlineStr"/>
    </row>
    <row r="14">
      <c r="A14" s="11" t="inlineStr">
        <is>
          <t>TC-EMP02-005</t>
        </is>
      </c>
      <c r="B14" s="11" t="inlineStr">
        <is>
          <t>EMP-02</t>
        </is>
      </c>
      <c r="C14" s="11" t="inlineStr">
        <is>
          <t>Nhà tuyển dụng</t>
        </is>
      </c>
      <c r="D14" s="11" t="inlineStr">
        <is>
          <t>Giấy phép không có link công khai</t>
        </is>
      </c>
      <c r="E14" s="11" t="inlineStr">
        <is>
          <t>Công ty đã gửi giấy phép</t>
        </is>
      </c>
      <c r="F14" s="11" t="inlineStr">
        <is>
          <t>–</t>
        </is>
      </c>
      <c r="G14" s="11" t="inlineStr">
        <is>
          <t>1. Admin mở giấy phép, sao chép URL
2. Mở URL ở trình duyệt ẩn danh sau 5 phút</t>
        </is>
      </c>
      <c r="H14" s="11" t="inlineStr">
        <is>
          <t>Link có chữ ký, hết hạn sau 5 phút; không truy cập được khi hết hạn</t>
        </is>
      </c>
      <c r="I14" s="11" t="inlineStr">
        <is>
          <t>P0</t>
        </is>
      </c>
      <c r="J14" s="11" t="inlineStr">
        <is>
          <t>Bảo mật</t>
        </is>
      </c>
      <c r="K14" s="11" t="inlineStr"/>
      <c r="L14" s="11" t="inlineStr">
        <is>
          <t>Chưa chạy</t>
        </is>
      </c>
      <c r="M14" s="11" t="inlineStr"/>
      <c r="N14" s="11" t="inlineStr"/>
      <c r="O14" s="11" t="inlineStr"/>
      <c r="P14" s="11" t="inlineStr"/>
    </row>
    <row r="15">
      <c r="A15" s="11" t="inlineStr">
        <is>
          <t>TC-EMP03-001</t>
        </is>
      </c>
      <c r="B15" s="11" t="inlineStr">
        <is>
          <t>EMP-03</t>
        </is>
      </c>
      <c r="C15" s="11" t="inlineStr">
        <is>
          <t>Nhà tuyển dụng</t>
        </is>
      </c>
      <c r="D15" s="11" t="inlineStr">
        <is>
          <t>Đăng tin và gửi duyệt</t>
        </is>
      </c>
      <c r="E15" s="11" t="inlineStr">
        <is>
          <t>ntd1 đăng nhập</t>
        </is>
      </c>
      <c r="F15" s="11" t="inlineStr">
        <is>
          <t>Chức danh: QA Tester; Toàn thời gian; Nhân viên; KN 1 năm; Số lượng 2; Lương 12–18tr; Hạn: +30 ngày; Hà Nội; Ngành CNTT; Kỹ năng: Manual Test</t>
        </is>
      </c>
      <c r="G15" s="11" t="inlineStr">
        <is>
          <t>1. Mở /employer/jobs/new
2. Nhập thông tin
3. Bấm Gửi duyệt</t>
        </is>
      </c>
      <c r="H15" s="11" t="inlineStr">
        <is>
          <t>Tin ở trạng thái Chờ duyệt; admin thấy trong danh sách chờ duyệt</t>
        </is>
      </c>
      <c r="I15" s="11" t="inlineStr">
        <is>
          <t>P0</t>
        </is>
      </c>
      <c r="J15" s="11" t="inlineStr">
        <is>
          <t>Chức năng</t>
        </is>
      </c>
      <c r="K15" s="11" t="inlineStr"/>
      <c r="L15" s="11" t="inlineStr">
        <is>
          <t>Chưa chạy</t>
        </is>
      </c>
      <c r="M15" s="11" t="inlineStr"/>
      <c r="N15" s="11" t="inlineStr"/>
      <c r="O15" s="11" t="inlineStr"/>
      <c r="P15" s="11" t="inlineStr"/>
    </row>
    <row r="16">
      <c r="A16" s="11" t="inlineStr">
        <is>
          <t>TC-EMP03-002</t>
        </is>
      </c>
      <c r="B16" s="11" t="inlineStr">
        <is>
          <t>EMP-03</t>
        </is>
      </c>
      <c r="C16" s="11" t="inlineStr">
        <is>
          <t>Nhà tuyển dụng</t>
        </is>
      </c>
      <c r="D16" s="11" t="inlineStr">
        <is>
          <t>Lưu nháp</t>
        </is>
      </c>
      <c r="E16" s="11" t="inlineStr">
        <is>
          <t>ntd1 đăng nhập</t>
        </is>
      </c>
      <c r="F16" s="11" t="inlineStr">
        <is>
          <t>Chỉ chức danh + mô tả</t>
        </is>
      </c>
      <c r="G16" s="11" t="inlineStr">
        <is>
          <t>1. Nhập một phần thông tin
2. Bấm Lưu nháp</t>
        </is>
      </c>
      <c r="H16" s="11" t="inlineStr">
        <is>
          <t>Tin ở trạng thái Nháp; không hiện công khai</t>
        </is>
      </c>
      <c r="I16" s="11" t="inlineStr">
        <is>
          <t>P0</t>
        </is>
      </c>
      <c r="J16" s="11" t="inlineStr">
        <is>
          <t>Chức năng</t>
        </is>
      </c>
      <c r="K16" s="11" t="inlineStr"/>
      <c r="L16" s="11" t="inlineStr">
        <is>
          <t>Chưa chạy</t>
        </is>
      </c>
      <c r="M16" s="11" t="inlineStr"/>
      <c r="N16" s="11" t="inlineStr"/>
      <c r="O16" s="11" t="inlineStr"/>
      <c r="P16" s="11" t="inlineStr"/>
    </row>
    <row r="17">
      <c r="A17" s="11" t="inlineStr">
        <is>
          <t>TC-EMP03-003</t>
        </is>
      </c>
      <c r="B17" s="11" t="inlineStr">
        <is>
          <t>EMP-03</t>
        </is>
      </c>
      <c r="C17" s="11" t="inlineStr">
        <is>
          <t>Nhà tuyển dụng</t>
        </is>
      </c>
      <c r="D17" s="11" t="inlineStr">
        <is>
          <t>Bỏ trống trường bắt buộc khi gửi duyệt</t>
        </is>
      </c>
      <c r="E17" s="11" t="inlineStr">
        <is>
          <t>ntd1 đăng nhập</t>
        </is>
      </c>
      <c r="F17" s="11" t="inlineStr">
        <is>
          <t>Thiếu chức danh / mô tả / loại hình / cấp bậc</t>
        </is>
      </c>
      <c r="G17" s="11" t="inlineStr">
        <is>
          <t>1. Bấm Gửi duyệt</t>
        </is>
      </c>
      <c r="H17" s="11" t="inlineStr">
        <is>
          <t>Báo lỗi tại ô: "Vui lòng nhập chức danh", "Vui lòng nhập mô tả công việc", "Vui lòng chọn loại hình", "Vui lòng chọn cấp bậc"</t>
        </is>
      </c>
      <c r="I17" s="11" t="inlineStr">
        <is>
          <t>P0</t>
        </is>
      </c>
      <c r="J17" s="11" t="inlineStr">
        <is>
          <t>Validate</t>
        </is>
      </c>
      <c r="K17" s="11" t="inlineStr"/>
      <c r="L17" s="11" t="inlineStr">
        <is>
          <t>Chưa chạy</t>
        </is>
      </c>
      <c r="M17" s="11" t="inlineStr"/>
      <c r="N17" s="11" t="inlineStr"/>
      <c r="O17" s="11" t="inlineStr"/>
      <c r="P17" s="11" t="inlineStr"/>
    </row>
    <row r="18">
      <c r="A18" s="11" t="inlineStr">
        <is>
          <t>TC-EMP03-004</t>
        </is>
      </c>
      <c r="B18" s="11" t="inlineStr">
        <is>
          <t>EMP-03</t>
        </is>
      </c>
      <c r="C18" s="11" t="inlineStr">
        <is>
          <t>Nhà tuyển dụng</t>
        </is>
      </c>
      <c r="D18" s="11" t="inlineStr">
        <is>
          <t>Số ngành 0 / 1 / 3 / 4</t>
        </is>
      </c>
      <c r="E18" s="11" t="inlineStr">
        <is>
          <t>ntd1 đăng nhập</t>
        </is>
      </c>
      <c r="F18" s="11" t="inlineStr">
        <is>
          <t>0, 1, 3, 4 ngành</t>
        </is>
      </c>
      <c r="G18" s="11" t="inlineStr">
        <is>
          <t>1. Gửi duyệt với từng số ngành</t>
        </is>
      </c>
      <c r="H18" s="11" t="inlineStr">
        <is>
          <t>0: "Chọn ít nhất 1 ngành nghề"; 1 và 3: hợp lệ; 4: "Tối đa 3 ngành nghề"</t>
        </is>
      </c>
      <c r="I18" s="11" t="inlineStr">
        <is>
          <t>P0</t>
        </is>
      </c>
      <c r="J18" s="11" t="inlineStr">
        <is>
          <t>Biên</t>
        </is>
      </c>
      <c r="K18" s="11" t="inlineStr"/>
      <c r="L18" s="11" t="inlineStr">
        <is>
          <t>Chưa chạy</t>
        </is>
      </c>
      <c r="M18" s="11" t="inlineStr"/>
      <c r="N18" s="11" t="inlineStr"/>
      <c r="O18" s="11" t="inlineStr"/>
      <c r="P18" s="11" t="inlineStr"/>
    </row>
    <row r="19">
      <c r="A19" s="11" t="inlineStr">
        <is>
          <t>TC-EMP03-005</t>
        </is>
      </c>
      <c r="B19" s="11" t="inlineStr">
        <is>
          <t>EMP-03</t>
        </is>
      </c>
      <c r="C19" s="11" t="inlineStr">
        <is>
          <t>Nhà tuyển dụng</t>
        </is>
      </c>
      <c r="D19" s="11" t="inlineStr">
        <is>
          <t>Số kỹ năng 15 / 16</t>
        </is>
      </c>
      <c r="E19" s="11" t="inlineStr">
        <is>
          <t>ntd1 đăng nhập</t>
        </is>
      </c>
      <c r="F19" s="11" t="inlineStr">
        <is>
          <t>15 và 16 kỹ năng</t>
        </is>
      </c>
      <c r="G19" s="11" t="inlineStr">
        <is>
          <t>1. Chọn 15 kỹ năng → Gửi
2. Thử chọn 16</t>
        </is>
      </c>
      <c r="H19" s="11" t="inlineStr">
        <is>
          <t>15 hợp lệ; 16 bị chặn / "Tối đa 15 kỹ năng"</t>
        </is>
      </c>
      <c r="I19" s="11" t="inlineStr">
        <is>
          <t>P0</t>
        </is>
      </c>
      <c r="J19" s="11" t="inlineStr">
        <is>
          <t>Biên</t>
        </is>
      </c>
      <c r="K19" s="11" t="inlineStr"/>
      <c r="L19" s="11" t="inlineStr">
        <is>
          <t>Chưa chạy</t>
        </is>
      </c>
      <c r="M19" s="11" t="inlineStr"/>
      <c r="N19" s="11" t="inlineStr"/>
      <c r="O19" s="11" t="inlineStr"/>
      <c r="P19" s="11" t="inlineStr"/>
    </row>
    <row r="20">
      <c r="A20" s="11" t="inlineStr">
        <is>
          <t>TC-EMP03-006</t>
        </is>
      </c>
      <c r="B20" s="11" t="inlineStr">
        <is>
          <t>EMP-03</t>
        </is>
      </c>
      <c r="C20" s="11" t="inlineStr">
        <is>
          <t>Nhà tuyển dụng</t>
        </is>
      </c>
      <c r="D20" s="11" t="inlineStr">
        <is>
          <t>Lương tối thiểu lớn hơn tối đa</t>
        </is>
      </c>
      <c r="E20" s="11" t="inlineStr">
        <is>
          <t>ntd1 đăng nhập</t>
        </is>
      </c>
      <c r="F20" s="11" t="inlineStr">
        <is>
          <t>Lương 20–10 triệu</t>
        </is>
      </c>
      <c r="G20" s="11" t="inlineStr">
        <is>
          <t>1. Nhập lương
2. Gửi duyệt</t>
        </is>
      </c>
      <c r="H20" s="11" t="inlineStr">
        <is>
          <t>Báo "Lương tối thiểu phải nhỏ hơn lương tối đa"</t>
        </is>
      </c>
      <c r="I20" s="11" t="inlineStr">
        <is>
          <t>P0</t>
        </is>
      </c>
      <c r="J20" s="11" t="inlineStr">
        <is>
          <t>Validate</t>
        </is>
      </c>
      <c r="K20" s="11" t="inlineStr"/>
      <c r="L20" s="11" t="inlineStr">
        <is>
          <t>Chưa chạy</t>
        </is>
      </c>
      <c r="M20" s="11" t="inlineStr"/>
      <c r="N20" s="11" t="inlineStr"/>
      <c r="O20" s="11" t="inlineStr"/>
      <c r="P20" s="11" t="inlineStr"/>
    </row>
    <row r="21">
      <c r="A21" s="11" t="inlineStr">
        <is>
          <t>TC-EMP03-007</t>
        </is>
      </c>
      <c r="B21" s="11" t="inlineStr">
        <is>
          <t>EMP-03</t>
        </is>
      </c>
      <c r="C21" s="11" t="inlineStr">
        <is>
          <t>Nhà tuyển dụng</t>
        </is>
      </c>
      <c r="D21" s="11" t="inlineStr">
        <is>
          <t>Lương thỏa thuận</t>
        </is>
      </c>
      <c r="E21" s="11" t="inlineStr">
        <is>
          <t>ntd1 đăng nhập</t>
        </is>
      </c>
      <c r="F21" s="11" t="inlineStr">
        <is>
          <t>Chọn Thỏa thuận</t>
        </is>
      </c>
      <c r="G21" s="11" t="inlineStr">
        <is>
          <t>1. Chọn thỏa thuận, bỏ trống lương
2. Gửi duyệt</t>
        </is>
      </c>
      <c r="H21" s="11" t="inlineStr">
        <is>
          <t>Hợp lệ; tin hiển thị "Thỏa thuận"</t>
        </is>
      </c>
      <c r="I21" s="11" t="inlineStr">
        <is>
          <t>P1</t>
        </is>
      </c>
      <c r="J21" s="11" t="inlineStr">
        <is>
          <t>Chức năng</t>
        </is>
      </c>
      <c r="K21" s="11" t="inlineStr"/>
      <c r="L21" s="11" t="inlineStr">
        <is>
          <t>Chưa chạy</t>
        </is>
      </c>
      <c r="M21" s="11" t="inlineStr"/>
      <c r="N21" s="11" t="inlineStr"/>
      <c r="O21" s="11" t="inlineStr"/>
      <c r="P21" s="11" t="inlineStr"/>
    </row>
    <row r="22">
      <c r="A22" s="11" t="inlineStr">
        <is>
          <t>TC-EMP03-008</t>
        </is>
      </c>
      <c r="B22" s="11" t="inlineStr">
        <is>
          <t>EMP-03</t>
        </is>
      </c>
      <c r="C22" s="11" t="inlineStr">
        <is>
          <t>Nhà tuyển dụng</t>
        </is>
      </c>
      <c r="D22" s="11" t="inlineStr">
        <is>
          <t>Hạn nộp hôm qua / hôm nay</t>
        </is>
      </c>
      <c r="E22" s="11" t="inlineStr">
        <is>
          <t>ntd1 đăng nhập</t>
        </is>
      </c>
      <c r="F22" s="11" t="inlineStr">
        <is>
          <t>Hạn: hôm qua; hôm nay</t>
        </is>
      </c>
      <c r="G22" s="11" t="inlineStr">
        <is>
          <t>1. Gửi duyệt với từng hạn</t>
        </is>
      </c>
      <c r="H22" s="11" t="inlineStr">
        <is>
          <t>Hôm qua: "Hạn nộp phải từ hôm nay trở đi"; hôm nay: hợp lệ</t>
        </is>
      </c>
      <c r="I22" s="11" t="inlineStr">
        <is>
          <t>P0</t>
        </is>
      </c>
      <c r="J22" s="11" t="inlineStr">
        <is>
          <t>Biên</t>
        </is>
      </c>
      <c r="K22" s="11" t="inlineStr"/>
      <c r="L22" s="11" t="inlineStr">
        <is>
          <t>Chưa chạy</t>
        </is>
      </c>
      <c r="M22" s="11" t="inlineStr"/>
      <c r="N22" s="11" t="inlineStr"/>
      <c r="O22" s="11" t="inlineStr"/>
      <c r="P22" s="11" t="inlineStr"/>
    </row>
    <row r="23">
      <c r="A23" s="11" t="inlineStr">
        <is>
          <t>TC-EMP03-009</t>
        </is>
      </c>
      <c r="B23" s="11" t="inlineStr">
        <is>
          <t>EMP-03</t>
        </is>
      </c>
      <c r="C23" s="11" t="inlineStr">
        <is>
          <t>Nhà tuyển dụng</t>
        </is>
      </c>
      <c r="D23" s="11" t="inlineStr">
        <is>
          <t>Hạn nộp +90 / +91 ngày</t>
        </is>
      </c>
      <c r="E23" s="11" t="inlineStr">
        <is>
          <t>ntd1 đăng nhập; cấu hình mặc định 90</t>
        </is>
      </c>
      <c r="F23" s="11" t="inlineStr">
        <is>
          <t>Hạn: +90; +91 ngày</t>
        </is>
      </c>
      <c r="G23" s="11" t="inlineStr">
        <is>
          <t>1. Gửi duyệt với từng hạn</t>
        </is>
      </c>
      <c r="H23" s="11" t="inlineStr">
        <is>
          <t>+90 hợp lệ; +91: "Hạn nộp tối đa 90 ngày kể từ hôm nay"</t>
        </is>
      </c>
      <c r="I23" s="11" t="inlineStr">
        <is>
          <t>P0</t>
        </is>
      </c>
      <c r="J23" s="11" t="inlineStr">
        <is>
          <t>Biên</t>
        </is>
      </c>
      <c r="K23" s="11" t="inlineStr"/>
      <c r="L23" s="11" t="inlineStr">
        <is>
          <t>Chưa chạy</t>
        </is>
      </c>
      <c r="M23" s="11" t="inlineStr"/>
      <c r="N23" s="11" t="inlineStr"/>
      <c r="O23" s="11" t="inlineStr"/>
      <c r="P23" s="11" t="inlineStr"/>
    </row>
    <row r="24">
      <c r="A24" s="11" t="inlineStr">
        <is>
          <t>TC-EMP03-010</t>
        </is>
      </c>
      <c r="B24" s="11" t="inlineStr">
        <is>
          <t>EMP-03</t>
        </is>
      </c>
      <c r="C24" s="11" t="inlineStr">
        <is>
          <t>Nhà tuyển dụng</t>
        </is>
      </c>
      <c r="D24" s="11" t="inlineStr">
        <is>
          <t>Mô tả có định dạng</t>
        </is>
      </c>
      <c r="E24" s="11" t="inlineStr">
        <is>
          <t>ntd1 đăng nhập</t>
        </is>
      </c>
      <c r="F24" s="11" t="inlineStr">
        <is>
          <t>Đậm, nghiêng, danh sách, link</t>
        </is>
      </c>
      <c r="G24" s="11" t="inlineStr">
        <is>
          <t>1. Soạn mô tả bằng trình soạn thảo
2. Gửi duyệt
3. Admin duyệt
4. Xem tin công khai</t>
        </is>
      </c>
      <c r="H24" s="11" t="inlineStr">
        <is>
          <t>Định dạng hiển thị đúng; link có rel="nofollow noopener"</t>
        </is>
      </c>
      <c r="I24" s="11" t="inlineStr">
        <is>
          <t>P0</t>
        </is>
      </c>
      <c r="J24" s="11" t="inlineStr">
        <is>
          <t>Chức năng</t>
        </is>
      </c>
      <c r="K24" s="11" t="inlineStr"/>
      <c r="L24" s="11" t="inlineStr">
        <is>
          <t>Chưa chạy</t>
        </is>
      </c>
      <c r="M24" s="11" t="inlineStr"/>
      <c r="N24" s="11" t="inlineStr"/>
      <c r="O24" s="11" t="inlineStr"/>
      <c r="P24" s="11" t="inlineStr"/>
    </row>
    <row r="25">
      <c r="A25" s="11" t="inlineStr">
        <is>
          <t>TC-EMP03-011</t>
        </is>
      </c>
      <c r="B25" s="11" t="inlineStr">
        <is>
          <t>EMP-03</t>
        </is>
      </c>
      <c r="C25" s="11" t="inlineStr">
        <is>
          <t>Nhà tuyển dụng</t>
        </is>
      </c>
      <c r="D25" s="11" t="inlineStr">
        <is>
          <t>Mô tả chứa script bị làm sạch</t>
        </is>
      </c>
      <c r="E25" s="11" t="inlineStr">
        <is>
          <t>ntd1 đăng nhập</t>
        </is>
      </c>
      <c r="F25" s="11" t="inlineStr">
        <is>
          <t>Gọi API với description: &lt;script&gt;alert(1)&lt;/script&gt;&lt;p&gt;QA&lt;/p&gt;</t>
        </is>
      </c>
      <c r="G25" s="11" t="inlineStr">
        <is>
          <t>1. Tạo tin qua API
2. Duyệt
3. Xem tin</t>
        </is>
      </c>
      <c r="H25" s="11" t="inlineStr">
        <is>
          <t>Thẻ script bị loại bỏ, chỉ còn "QA"</t>
        </is>
      </c>
      <c r="I25" s="11" t="inlineStr">
        <is>
          <t>P0</t>
        </is>
      </c>
      <c r="J25" s="11" t="inlineStr">
        <is>
          <t>Bảo mật</t>
        </is>
      </c>
      <c r="K25" s="11" t="inlineStr"/>
      <c r="L25" s="11" t="inlineStr">
        <is>
          <t>Chưa chạy</t>
        </is>
      </c>
      <c r="M25" s="11" t="inlineStr"/>
      <c r="N25" s="11" t="inlineStr"/>
      <c r="O25" s="11" t="inlineStr"/>
      <c r="P25" s="11" t="inlineStr"/>
    </row>
    <row r="26">
      <c r="A26" s="11" t="inlineStr">
        <is>
          <t>TC-EMP03-012</t>
        </is>
      </c>
      <c r="B26" s="11" t="inlineStr">
        <is>
          <t>EMP-03</t>
        </is>
      </c>
      <c r="C26" s="11" t="inlineStr">
        <is>
          <t>Nhà tuyển dụng</t>
        </is>
      </c>
      <c r="D26" s="11" t="inlineStr">
        <is>
          <t>NTD chưa có công ty không đăng được tin</t>
        </is>
      </c>
      <c r="E26" s="11" t="inlineStr">
        <is>
          <t>qa.ntd01 chưa tạo công ty</t>
        </is>
      </c>
      <c r="F26" s="11" t="inlineStr">
        <is>
          <t>–</t>
        </is>
      </c>
      <c r="G26" s="11" t="inlineStr">
        <is>
          <t>1. Mở /employer/jobs/new hoặc gọi API tạo tin</t>
        </is>
      </c>
      <c r="H26" s="11" t="inlineStr">
        <is>
          <t>Được hướng dẫn tạo hồ sơ công ty trước; API từ chối</t>
        </is>
      </c>
      <c r="I26" s="11" t="inlineStr">
        <is>
          <t>P0</t>
        </is>
      </c>
      <c r="J26" s="11" t="inlineStr">
        <is>
          <t>Phân quyền</t>
        </is>
      </c>
      <c r="K26" s="11" t="inlineStr"/>
      <c r="L26" s="11" t="inlineStr">
        <is>
          <t>Chưa chạy</t>
        </is>
      </c>
      <c r="M26" s="11" t="inlineStr"/>
      <c r="N26" s="11" t="inlineStr"/>
      <c r="O26" s="11" t="inlineStr"/>
      <c r="P26" s="11" t="inlineStr"/>
    </row>
    <row r="27">
      <c r="A27" s="11" t="inlineStr">
        <is>
          <t>TC-EMP03-013</t>
        </is>
      </c>
      <c r="B27" s="11" t="inlineStr">
        <is>
          <t>EMP-03</t>
        </is>
      </c>
      <c r="C27" s="11" t="inlineStr">
        <is>
          <t>Nhà tuyển dụng</t>
        </is>
      </c>
      <c r="D27" s="11" t="inlineStr">
        <is>
          <t>Thành viên công ty đăng được tin</t>
        </is>
      </c>
      <c r="E27" s="11" t="inlineStr">
        <is>
          <t>ntd3 (Thành viên) đăng nhập</t>
        </is>
      </c>
      <c r="F27" s="11" t="inlineStr">
        <is>
          <t>Tin QA Member</t>
        </is>
      </c>
      <c r="G27" s="11" t="inlineStr">
        <is>
          <t>1. Đăng tin và gửi duyệt</t>
        </is>
      </c>
      <c r="H27" s="11" t="inlineStr">
        <is>
          <t>Thành công; tin thuộc công ty Sao Việt</t>
        </is>
      </c>
      <c r="I27" s="11" t="inlineStr">
        <is>
          <t>P1</t>
        </is>
      </c>
      <c r="J27" s="11" t="inlineStr">
        <is>
          <t>Phân quyền</t>
        </is>
      </c>
      <c r="K27" s="11" t="inlineStr"/>
      <c r="L27" s="11" t="inlineStr">
        <is>
          <t>Chưa chạy</t>
        </is>
      </c>
      <c r="M27" s="11" t="inlineStr"/>
      <c r="N27" s="11" t="inlineStr"/>
      <c r="O27" s="11" t="inlineStr"/>
      <c r="P27" s="11" t="inlineStr"/>
    </row>
    <row r="28">
      <c r="A28" s="11" t="inlineStr">
        <is>
          <t>TC-EMP04-001</t>
        </is>
      </c>
      <c r="B28" s="11" t="inlineStr">
        <is>
          <t>EMP-04</t>
        </is>
      </c>
      <c r="C28" s="11" t="inlineStr">
        <is>
          <t>Nhà tuyển dụng</t>
        </is>
      </c>
      <c r="D28" s="11" t="inlineStr">
        <is>
          <t>Danh sách tin theo trạng thái</t>
        </is>
      </c>
      <c r="E28" s="11" t="inlineStr">
        <is>
          <t>ntd1 có tin ở nhiều trạng thái</t>
        </is>
      </c>
      <c r="F28" s="11" t="inlineStr">
        <is>
          <t>–</t>
        </is>
      </c>
      <c r="G28" s="11" t="inlineStr">
        <is>
          <t>1. Mở /employer/jobs
2. Chuyển từng tab trạng thái</t>
        </is>
      </c>
      <c r="H28" s="11" t="inlineStr">
        <is>
          <t>Mỗi tab chỉ có tin đúng trạng thái; có lượt xem, số đơn, số đơn mới</t>
        </is>
      </c>
      <c r="I28" s="11" t="inlineStr">
        <is>
          <t>P0</t>
        </is>
      </c>
      <c r="J28" s="11" t="inlineStr">
        <is>
          <t>Chức năng</t>
        </is>
      </c>
      <c r="K28" s="11" t="inlineStr"/>
      <c r="L28" s="11" t="inlineStr">
        <is>
          <t>Chưa chạy</t>
        </is>
      </c>
      <c r="M28" s="11" t="inlineStr"/>
      <c r="N28" s="11" t="inlineStr"/>
      <c r="O28" s="11" t="inlineStr"/>
      <c r="P28" s="11" t="inlineStr"/>
    </row>
    <row r="29">
      <c r="A29" s="11" t="inlineStr">
        <is>
          <t>TC-EMP04-002</t>
        </is>
      </c>
      <c r="B29" s="11" t="inlineStr">
        <is>
          <t>EMP-04</t>
        </is>
      </c>
      <c r="C29" s="11" t="inlineStr">
        <is>
          <t>Nhà tuyển dụng</t>
        </is>
      </c>
      <c r="D29" s="11" t="inlineStr">
        <is>
          <t>Xem lý do bị từ chối</t>
        </is>
      </c>
      <c r="E29" s="11" t="inlineStr">
        <is>
          <t>Admin đã từ chối tin của ntd1 với lý do</t>
        </is>
      </c>
      <c r="F29" s="11" t="inlineStr">
        <is>
          <t>–</t>
        </is>
      </c>
      <c r="G29" s="11" t="inlineStr">
        <is>
          <t>1. Mở tab Bị từ chối
2. Xem tin</t>
        </is>
      </c>
      <c r="H29" s="11" t="inlineStr">
        <is>
          <t>Hiện đúng lý do admin nhập</t>
        </is>
      </c>
      <c r="I29" s="11" t="inlineStr">
        <is>
          <t>P0</t>
        </is>
      </c>
      <c r="J29" s="11" t="inlineStr">
        <is>
          <t>Chức năng</t>
        </is>
      </c>
      <c r="K29" s="11" t="inlineStr"/>
      <c r="L29" s="11" t="inlineStr">
        <is>
          <t>Chưa chạy</t>
        </is>
      </c>
      <c r="M29" s="11" t="inlineStr"/>
      <c r="N29" s="11" t="inlineStr"/>
      <c r="O29" s="11" t="inlineStr"/>
      <c r="P29" s="11" t="inlineStr"/>
    </row>
    <row r="30">
      <c r="A30" s="11" t="inlineStr">
        <is>
          <t>TC-EMP04-003</t>
        </is>
      </c>
      <c r="B30" s="11" t="inlineStr">
        <is>
          <t>EMP-04</t>
        </is>
      </c>
      <c r="C30" s="11" t="inlineStr">
        <is>
          <t>Nhà tuyển dụng</t>
        </is>
      </c>
      <c r="D30" s="11" t="inlineStr">
        <is>
          <t>Chỉ thấy tin công ty mình</t>
        </is>
      </c>
      <c r="E30" s="11" t="inlineStr">
        <is>
          <t>ntd2 đăng nhập</t>
        </is>
      </c>
      <c r="F30" s="11" t="inlineStr">
        <is>
          <t>–</t>
        </is>
      </c>
      <c r="G30" s="11" t="inlineStr">
        <is>
          <t>1. Mở /employer/jobs</t>
        </is>
      </c>
      <c r="H30" s="11" t="inlineStr">
        <is>
          <t>Không có tin của công ty ntd1</t>
        </is>
      </c>
      <c r="I30" s="11" t="inlineStr">
        <is>
          <t>P0</t>
        </is>
      </c>
      <c r="J30" s="11" t="inlineStr">
        <is>
          <t>Phân quyền</t>
        </is>
      </c>
      <c r="K30" s="11" t="inlineStr"/>
      <c r="L30" s="11" t="inlineStr">
        <is>
          <t>Chưa chạy</t>
        </is>
      </c>
      <c r="M30" s="11" t="inlineStr"/>
      <c r="N30" s="11" t="inlineStr"/>
      <c r="O30" s="11" t="inlineStr"/>
      <c r="P30" s="11" t="inlineStr"/>
    </row>
    <row r="31">
      <c r="A31" s="11" t="inlineStr">
        <is>
          <t>TC-EMP05-001</t>
        </is>
      </c>
      <c r="B31" s="11" t="inlineStr">
        <is>
          <t>EMP-05</t>
        </is>
      </c>
      <c r="C31" s="11" t="inlineStr">
        <is>
          <t>Nhà tuyển dụng</t>
        </is>
      </c>
      <c r="D31" s="11" t="inlineStr">
        <is>
          <t>Sửa nội dung tin đang hiển thị → chờ duyệt lại</t>
        </is>
      </c>
      <c r="E31" s="11" t="inlineStr">
        <is>
          <t>Tin X APPROVED</t>
        </is>
      </c>
      <c r="F31" s="11" t="inlineStr">
        <is>
          <t>Tiêu đề mới</t>
        </is>
      </c>
      <c r="G31" s="11" t="inlineStr">
        <is>
          <t>1. Sửa tiêu đề
2. Lưu</t>
        </is>
      </c>
      <c r="H31" s="11" t="inlineStr">
        <is>
          <t>Tin về Chờ duyệt; không còn hiện công khai</t>
        </is>
      </c>
      <c r="I31" s="11" t="inlineStr">
        <is>
          <t>P0</t>
        </is>
      </c>
      <c r="J31" s="11" t="inlineStr">
        <is>
          <t>Trạng thái</t>
        </is>
      </c>
      <c r="K31" s="11" t="inlineStr"/>
      <c r="L31" s="11" t="inlineStr">
        <is>
          <t>Chưa chạy</t>
        </is>
      </c>
      <c r="M31" s="11" t="inlineStr"/>
      <c r="N31" s="11" t="inlineStr"/>
      <c r="O31" s="11" t="inlineStr"/>
      <c r="P31" s="11" t="inlineStr"/>
    </row>
    <row r="32">
      <c r="A32" s="11" t="inlineStr">
        <is>
          <t>TC-EMP05-002</t>
        </is>
      </c>
      <c r="B32" s="11" t="inlineStr">
        <is>
          <t>EMP-05</t>
        </is>
      </c>
      <c r="C32" s="11" t="inlineStr">
        <is>
          <t>Nhà tuyển dụng</t>
        </is>
      </c>
      <c r="D32" s="11" t="inlineStr">
        <is>
          <t>Sửa lương / hạn / số lượng / địa điểm không cần duyệt lại</t>
        </is>
      </c>
      <c r="E32" s="11" t="inlineStr">
        <is>
          <t>Tin X APPROVED</t>
        </is>
      </c>
      <c r="F32" s="11" t="inlineStr">
        <is>
          <t>Lương mới; Số lượng 3</t>
        </is>
      </c>
      <c r="G32" s="11" t="inlineStr">
        <is>
          <t>1. Chỉ sửa lương và số lượng
2. Lưu</t>
        </is>
      </c>
      <c r="H32" s="11" t="inlineStr">
        <is>
          <t>Tin vẫn Đang hiển thị; thay đổi xuất hiện công khai ngay</t>
        </is>
      </c>
      <c r="I32" s="11" t="inlineStr">
        <is>
          <t>P0</t>
        </is>
      </c>
      <c r="J32" s="11" t="inlineStr">
        <is>
          <t>Trạng thái</t>
        </is>
      </c>
      <c r="K32" s="11" t="inlineStr"/>
      <c r="L32" s="11" t="inlineStr">
        <is>
          <t>Chưa chạy</t>
        </is>
      </c>
      <c r="M32" s="11" t="inlineStr"/>
      <c r="N32" s="11" t="inlineStr"/>
      <c r="O32" s="11" t="inlineStr"/>
      <c r="P32" s="11" t="inlineStr"/>
    </row>
    <row r="33">
      <c r="A33" s="11" t="inlineStr">
        <is>
          <t>TC-EMP05-003</t>
        </is>
      </c>
      <c r="B33" s="11" t="inlineStr">
        <is>
          <t>EMP-05</t>
        </is>
      </c>
      <c r="C33" s="11" t="inlineStr">
        <is>
          <t>Nhà tuyển dụng</t>
        </is>
      </c>
      <c r="D33" s="11" t="inlineStr">
        <is>
          <t>Không sửa được tin đang chờ duyệt</t>
        </is>
      </c>
      <c r="E33" s="11" t="inlineStr">
        <is>
          <t>Tin X PENDING</t>
        </is>
      </c>
      <c r="F33" s="11" t="inlineStr">
        <is>
          <t>–</t>
        </is>
      </c>
      <c r="G33" s="11" t="inlineStr">
        <is>
          <t>1. Mở sửa tin X / gọi API sửa</t>
        </is>
      </c>
      <c r="H33" s="11" t="inlineStr">
        <is>
          <t>Báo "Tin đang chờ duyệt, vui lòng đợi kết quả trước khi sửa"</t>
        </is>
      </c>
      <c r="I33" s="11" t="inlineStr">
        <is>
          <t>P0</t>
        </is>
      </c>
      <c r="J33" s="11" t="inlineStr">
        <is>
          <t>Trạng thái</t>
        </is>
      </c>
      <c r="K33" s="11" t="inlineStr"/>
      <c r="L33" s="11" t="inlineStr">
        <is>
          <t>Chưa chạy</t>
        </is>
      </c>
      <c r="M33" s="11" t="inlineStr"/>
      <c r="N33" s="11" t="inlineStr"/>
      <c r="O33" s="11" t="inlineStr"/>
      <c r="P33" s="11" t="inlineStr"/>
    </row>
    <row r="34">
      <c r="A34" s="11" t="inlineStr">
        <is>
          <t>TC-EMP05-004</t>
        </is>
      </c>
      <c r="B34" s="11" t="inlineStr">
        <is>
          <t>EMP-05</t>
        </is>
      </c>
      <c r="C34" s="11" t="inlineStr">
        <is>
          <t>Nhà tuyển dụng</t>
        </is>
      </c>
      <c r="D34" s="11" t="inlineStr">
        <is>
          <t>Đóng tin đang hiển thị</t>
        </is>
      </c>
      <c r="E34" s="11" t="inlineStr">
        <is>
          <t>Tin X APPROVED</t>
        </is>
      </c>
      <c r="F34" s="11" t="inlineStr">
        <is>
          <t>–</t>
        </is>
      </c>
      <c r="G34" s="11" t="inlineStr">
        <is>
          <t>1. Bấm Đóng tin</t>
        </is>
      </c>
      <c r="H34" s="11" t="inlineStr">
        <is>
          <t>Tin → Đã đóng; không còn công khai, không nhận đơn</t>
        </is>
      </c>
      <c r="I34" s="11" t="inlineStr">
        <is>
          <t>P0</t>
        </is>
      </c>
      <c r="J34" s="11" t="inlineStr">
        <is>
          <t>Trạng thái</t>
        </is>
      </c>
      <c r="K34" s="11" t="inlineStr"/>
      <c r="L34" s="11" t="inlineStr">
        <is>
          <t>Chưa chạy</t>
        </is>
      </c>
      <c r="M34" s="11" t="inlineStr"/>
      <c r="N34" s="11" t="inlineStr"/>
      <c r="O34" s="11" t="inlineStr"/>
      <c r="P34" s="11" t="inlineStr"/>
    </row>
    <row r="35">
      <c r="A35" s="11" t="inlineStr">
        <is>
          <t>TC-EMP05-005</t>
        </is>
      </c>
      <c r="B35" s="11" t="inlineStr">
        <is>
          <t>EMP-05</t>
        </is>
      </c>
      <c r="C35" s="11" t="inlineStr">
        <is>
          <t>Nhà tuyển dụng</t>
        </is>
      </c>
      <c r="D35" s="11" t="inlineStr">
        <is>
          <t>Mở lại tin đã đóng còn hạn</t>
        </is>
      </c>
      <c r="E35" s="11" t="inlineStr">
        <is>
          <t>Tin X CLOSED, hạn còn</t>
        </is>
      </c>
      <c r="F35" s="11" t="inlineStr">
        <is>
          <t>–</t>
        </is>
      </c>
      <c r="G35" s="11" t="inlineStr">
        <is>
          <t>1. Bấm Mở lại</t>
        </is>
      </c>
      <c r="H35" s="11" t="inlineStr">
        <is>
          <t>Tin → Đang hiển thị</t>
        </is>
      </c>
      <c r="I35" s="11" t="inlineStr">
        <is>
          <t>P0</t>
        </is>
      </c>
      <c r="J35" s="11" t="inlineStr">
        <is>
          <t>Trạng thái</t>
        </is>
      </c>
      <c r="K35" s="11" t="inlineStr"/>
      <c r="L35" s="11" t="inlineStr">
        <is>
          <t>Chưa chạy</t>
        </is>
      </c>
      <c r="M35" s="11" t="inlineStr"/>
      <c r="N35" s="11" t="inlineStr"/>
      <c r="O35" s="11" t="inlineStr"/>
      <c r="P35" s="11" t="inlineStr"/>
    </row>
    <row r="36">
      <c r="A36" s="11" t="inlineStr">
        <is>
          <t>TC-EMP05-006</t>
        </is>
      </c>
      <c r="B36" s="11" t="inlineStr">
        <is>
          <t>EMP-05</t>
        </is>
      </c>
      <c r="C36" s="11" t="inlineStr">
        <is>
          <t>Nhà tuyển dụng</t>
        </is>
      </c>
      <c r="D36" s="11" t="inlineStr">
        <is>
          <t>Mở lại tin đã đóng nhưng quá hạn</t>
        </is>
      </c>
      <c r="E36" s="11" t="inlineStr">
        <is>
          <t>Tin X CLOSED, hạn đã qua</t>
        </is>
      </c>
      <c r="F36" s="11" t="inlineStr">
        <is>
          <t>–</t>
        </is>
      </c>
      <c r="G36" s="11" t="inlineStr">
        <is>
          <t>1. Bấm Mở lại</t>
        </is>
      </c>
      <c r="H36" s="11" t="inlineStr">
        <is>
          <t>Báo "Tin đã quá hạn nộp, vui lòng gia hạn"</t>
        </is>
      </c>
      <c r="I36" s="11" t="inlineStr">
        <is>
          <t>P1</t>
        </is>
      </c>
      <c r="J36" s="11" t="inlineStr">
        <is>
          <t>Trạng thái</t>
        </is>
      </c>
      <c r="K36" s="11" t="inlineStr"/>
      <c r="L36" s="11" t="inlineStr">
        <is>
          <t>Chưa chạy</t>
        </is>
      </c>
      <c r="M36" s="11" t="inlineStr"/>
      <c r="N36" s="11" t="inlineStr"/>
      <c r="O36" s="11" t="inlineStr"/>
      <c r="P36" s="11" t="inlineStr"/>
    </row>
    <row r="37">
      <c r="A37" s="11" t="inlineStr">
        <is>
          <t>TC-EMP05-007</t>
        </is>
      </c>
      <c r="B37" s="11" t="inlineStr">
        <is>
          <t>EMP-05</t>
        </is>
      </c>
      <c r="C37" s="11" t="inlineStr">
        <is>
          <t>Nhà tuyển dụng</t>
        </is>
      </c>
      <c r="D37" s="11" t="inlineStr">
        <is>
          <t>Gia hạn tin hết hạn</t>
        </is>
      </c>
      <c r="E37" s="11" t="inlineStr">
        <is>
          <t>Tin X EXPIRED</t>
        </is>
      </c>
      <c r="F37" s="11" t="inlineStr">
        <is>
          <t>Hạn mới: +14 ngày</t>
        </is>
      </c>
      <c r="G37" s="11" t="inlineStr">
        <is>
          <t>1. Bấm Gia hạn
2. Chọn hạn mới</t>
        </is>
      </c>
      <c r="H37" s="11" t="inlineStr">
        <is>
          <t>Tin → Đang hiển thị với hạn mới</t>
        </is>
      </c>
      <c r="I37" s="11" t="inlineStr">
        <is>
          <t>P0</t>
        </is>
      </c>
      <c r="J37" s="11" t="inlineStr">
        <is>
          <t>Trạng thái</t>
        </is>
      </c>
      <c r="K37" s="11" t="inlineStr"/>
      <c r="L37" s="11" t="inlineStr">
        <is>
          <t>Chưa chạy</t>
        </is>
      </c>
      <c r="M37" s="11" t="inlineStr"/>
      <c r="N37" s="11" t="inlineStr"/>
      <c r="O37" s="11" t="inlineStr"/>
      <c r="P37" s="11" t="inlineStr"/>
    </row>
    <row r="38">
      <c r="A38" s="11" t="inlineStr">
        <is>
          <t>TC-EMP05-008</t>
        </is>
      </c>
      <c r="B38" s="11" t="inlineStr">
        <is>
          <t>EMP-05</t>
        </is>
      </c>
      <c r="C38" s="11" t="inlineStr">
        <is>
          <t>Nhà tuyển dụng</t>
        </is>
      </c>
      <c r="D38" s="11" t="inlineStr">
        <is>
          <t>Gia hạn với hạn không sau hạn hiện tại</t>
        </is>
      </c>
      <c r="E38" s="11" t="inlineStr">
        <is>
          <t>Tin X đang hiển thị, hạn D</t>
        </is>
      </c>
      <c r="F38" s="11" t="inlineStr">
        <is>
          <t>Hạn mới = D</t>
        </is>
      </c>
      <c r="G38" s="11" t="inlineStr">
        <is>
          <t>1. Gia hạn với hạn D</t>
        </is>
      </c>
      <c r="H38" s="11" t="inlineStr">
        <is>
          <t>Báo "Hạn mới phải sau hạn hiện tại"</t>
        </is>
      </c>
      <c r="I38" s="11" t="inlineStr">
        <is>
          <t>P1</t>
        </is>
      </c>
      <c r="J38" s="11" t="inlineStr">
        <is>
          <t>Validate</t>
        </is>
      </c>
      <c r="K38" s="11" t="inlineStr"/>
      <c r="L38" s="11" t="inlineStr">
        <is>
          <t>Chưa chạy</t>
        </is>
      </c>
      <c r="M38" s="11" t="inlineStr"/>
      <c r="N38" s="11" t="inlineStr"/>
      <c r="O38" s="11" t="inlineStr"/>
      <c r="P38" s="11" t="inlineStr"/>
    </row>
    <row r="39">
      <c r="A39" s="11" t="inlineStr">
        <is>
          <t>TC-EMP05-009</t>
        </is>
      </c>
      <c r="B39" s="11" t="inlineStr">
        <is>
          <t>EMP-05</t>
        </is>
      </c>
      <c r="C39" s="11" t="inlineStr">
        <is>
          <t>Nhà tuyển dụng</t>
        </is>
      </c>
      <c r="D39" s="11" t="inlineStr">
        <is>
          <t>Xóa tin chưa có đơn</t>
        </is>
      </c>
      <c r="E39" s="11" t="inlineStr">
        <is>
          <t>Tin nháp không có đơn</t>
        </is>
      </c>
      <c r="F39" s="11" t="inlineStr">
        <is>
          <t>–</t>
        </is>
      </c>
      <c r="G39" s="11" t="inlineStr">
        <is>
          <t>1. Bấm Xóa → xác nhận</t>
        </is>
      </c>
      <c r="H39" s="11" t="inlineStr">
        <is>
          <t>Tin biến mất</t>
        </is>
      </c>
      <c r="I39" s="11" t="inlineStr">
        <is>
          <t>P0</t>
        </is>
      </c>
      <c r="J39" s="11" t="inlineStr">
        <is>
          <t>Chức năng</t>
        </is>
      </c>
      <c r="K39" s="11" t="inlineStr"/>
      <c r="L39" s="11" t="inlineStr">
        <is>
          <t>Chưa chạy</t>
        </is>
      </c>
      <c r="M39" s="11" t="inlineStr"/>
      <c r="N39" s="11" t="inlineStr"/>
      <c r="O39" s="11" t="inlineStr"/>
      <c r="P39" s="11" t="inlineStr"/>
    </row>
    <row r="40">
      <c r="A40" s="11" t="inlineStr">
        <is>
          <t>TC-EMP05-010</t>
        </is>
      </c>
      <c r="B40" s="11" t="inlineStr">
        <is>
          <t>EMP-05</t>
        </is>
      </c>
      <c r="C40" s="11" t="inlineStr">
        <is>
          <t>Nhà tuyển dụng</t>
        </is>
      </c>
      <c r="D40" s="11" t="inlineStr">
        <is>
          <t>Không xóa tin đã có đơn</t>
        </is>
      </c>
      <c r="E40" s="11" t="inlineStr">
        <is>
          <t>Tin X có ≥ 1 đơn</t>
        </is>
      </c>
      <c r="F40" s="11" t="inlineStr">
        <is>
          <t>–</t>
        </is>
      </c>
      <c r="G40" s="11" t="inlineStr">
        <is>
          <t>1. Bấm Xóa</t>
        </is>
      </c>
      <c r="H40" s="11" t="inlineStr">
        <is>
          <t>Báo "Tin đã có người ứng tuyển, không thể xóa. Bạn có thể đóng tin."</t>
        </is>
      </c>
      <c r="I40" s="11" t="inlineStr">
        <is>
          <t>P0</t>
        </is>
      </c>
      <c r="J40" s="11" t="inlineStr">
        <is>
          <t>Validate</t>
        </is>
      </c>
      <c r="K40" s="11" t="inlineStr"/>
      <c r="L40" s="11" t="inlineStr">
        <is>
          <t>Chưa chạy</t>
        </is>
      </c>
      <c r="M40" s="11" t="inlineStr"/>
      <c r="N40" s="11" t="inlineStr"/>
      <c r="O40" s="11" t="inlineStr"/>
      <c r="P40" s="11" t="inlineStr"/>
    </row>
    <row r="41">
      <c r="A41" s="11" t="inlineStr">
        <is>
          <t>TC-EMP05-011</t>
        </is>
      </c>
      <c r="B41" s="11" t="inlineStr">
        <is>
          <t>EMP-05</t>
        </is>
      </c>
      <c r="C41" s="11" t="inlineStr">
        <is>
          <t>Nhà tuyển dụng</t>
        </is>
      </c>
      <c r="D41" s="11" t="inlineStr">
        <is>
          <t>Tự hết hạn khi quá hạn nộp</t>
        </is>
      </c>
      <c r="E41" s="11" t="inlineStr">
        <is>
          <t>Tin X APPROVED có hạn hôm qua (giả lập trong DB)</t>
        </is>
      </c>
      <c r="F41" s="11" t="inlineStr">
        <is>
          <t>–</t>
        </is>
      </c>
      <c r="G41" s="11" t="inlineStr">
        <is>
          <t>1. Đợi tác vụ chạy (mỗi giờ) hoặc khởi động lại API
2. Xem danh sách tin</t>
        </is>
      </c>
      <c r="H41" s="11" t="inlineStr">
        <is>
          <t>Tin X → Hết hạn; không còn hiện công khai</t>
        </is>
      </c>
      <c r="I41" s="11" t="inlineStr">
        <is>
          <t>P1</t>
        </is>
      </c>
      <c r="J41" s="11" t="inlineStr">
        <is>
          <t>Chức năng</t>
        </is>
      </c>
      <c r="K41" s="11" t="inlineStr"/>
      <c r="L41" s="11" t="inlineStr">
        <is>
          <t>Chưa chạy</t>
        </is>
      </c>
      <c r="M41" s="11" t="inlineStr"/>
      <c r="N41" s="11" t="inlineStr"/>
      <c r="O41" s="11" t="inlineStr"/>
      <c r="P41" s="11" t="inlineStr"/>
    </row>
    <row r="42">
      <c r="A42" s="11" t="inlineStr">
        <is>
          <t>TC-EMP05-012</t>
        </is>
      </c>
      <c r="B42" s="11" t="inlineStr">
        <is>
          <t>EMP-05</t>
        </is>
      </c>
      <c r="C42" s="11" t="inlineStr">
        <is>
          <t>Nhà tuyển dụng</t>
        </is>
      </c>
      <c r="D42" s="11" t="inlineStr">
        <is>
          <t>Không thao tác tin công ty khác</t>
        </is>
      </c>
      <c r="E42" s="11" t="inlineStr">
        <is>
          <t>ntd2 biết id tin của ntd1</t>
        </is>
      </c>
      <c r="F42" s="11" t="inlineStr">
        <is>
          <t>–</t>
        </is>
      </c>
      <c r="G42" s="11" t="inlineStr">
        <is>
          <t>1. ntd2 gọi API sửa / đóng / xóa tin của ntd1</t>
        </is>
      </c>
      <c r="H42" s="11" t="inlineStr">
        <is>
          <t>Trả 404</t>
        </is>
      </c>
      <c r="I42" s="11" t="inlineStr">
        <is>
          <t>P0</t>
        </is>
      </c>
      <c r="J42" s="11" t="inlineStr">
        <is>
          <t>Phân quyền</t>
        </is>
      </c>
      <c r="K42" s="11" t="inlineStr"/>
      <c r="L42" s="11" t="inlineStr">
        <is>
          <t>Chưa chạy</t>
        </is>
      </c>
      <c r="M42" s="11" t="inlineStr"/>
      <c r="N42" s="11" t="inlineStr"/>
      <c r="O42" s="11" t="inlineStr"/>
      <c r="P42" s="11" t="inlineStr"/>
    </row>
    <row r="43">
      <c r="A43" s="11" t="inlineStr">
        <is>
          <t>TC-EMP06-001</t>
        </is>
      </c>
      <c r="B43" s="11" t="inlineStr">
        <is>
          <t>EMP-06</t>
        </is>
      </c>
      <c r="C43" s="11" t="inlineStr">
        <is>
          <t>Nhà tuyển dụng</t>
        </is>
      </c>
      <c r="D43" s="11" t="inlineStr">
        <is>
          <t>Danh sách đơn và bộ lọc</t>
        </is>
      </c>
      <c r="E43" s="11" t="inlineStr">
        <is>
          <t>ntd1 có đơn ở nhiều tin / trạng thái</t>
        </is>
      </c>
      <c r="F43" s="11" t="inlineStr">
        <is>
          <t>–</t>
        </is>
      </c>
      <c r="G43" s="11" t="inlineStr">
        <is>
          <t>1. Mở /employer/applications
2. Lọc theo tin, trạng thái, tên ứng viên</t>
        </is>
      </c>
      <c r="H43" s="11" t="inlineStr">
        <is>
          <t>Kết quả đúng bộ lọc</t>
        </is>
      </c>
      <c r="I43" s="11" t="inlineStr">
        <is>
          <t>P0</t>
        </is>
      </c>
      <c r="J43" s="11" t="inlineStr">
        <is>
          <t>Chức năng</t>
        </is>
      </c>
      <c r="K43" s="11" t="inlineStr"/>
      <c r="L43" s="11" t="inlineStr">
        <is>
          <t>Chưa chạy</t>
        </is>
      </c>
      <c r="M43" s="11" t="inlineStr"/>
      <c r="N43" s="11" t="inlineStr"/>
      <c r="O43" s="11" t="inlineStr"/>
      <c r="P43" s="11" t="inlineStr"/>
    </row>
    <row r="44">
      <c r="A44" s="11" t="inlineStr">
        <is>
          <t>TC-EMP06-002</t>
        </is>
      </c>
      <c r="B44" s="11" t="inlineStr">
        <is>
          <t>EMP-06</t>
        </is>
      </c>
      <c r="C44" s="11" t="inlineStr">
        <is>
          <t>Nhà tuyển dụng</t>
        </is>
      </c>
      <c r="D44" s="11" t="inlineStr">
        <is>
          <t>Xem chi tiết đơn và CV PDF</t>
        </is>
      </c>
      <c r="E44" s="11" t="inlineStr">
        <is>
          <t>Có đơn với CV PDF</t>
        </is>
      </c>
      <c r="F44" s="11" t="inlineStr">
        <is>
          <t>–</t>
        </is>
      </c>
      <c r="G44" s="11" t="inlineStr">
        <is>
          <t>1. Mở chi tiết đơn</t>
        </is>
      </c>
      <c r="H44" s="11" t="inlineStr">
        <is>
          <t>Hiện hồ sơ ứng viên, thư giới thiệu; CV PDF xem được ngay trên trang; tải được</t>
        </is>
      </c>
      <c r="I44" s="11" t="inlineStr">
        <is>
          <t>P0</t>
        </is>
      </c>
      <c r="J44" s="11" t="inlineStr">
        <is>
          <t>Chức năng</t>
        </is>
      </c>
      <c r="K44" s="11" t="inlineStr"/>
      <c r="L44" s="11" t="inlineStr">
        <is>
          <t>Chưa chạy</t>
        </is>
      </c>
      <c r="M44" s="11" t="inlineStr"/>
      <c r="N44" s="11" t="inlineStr"/>
      <c r="O44" s="11" t="inlineStr"/>
      <c r="P44" s="11" t="inlineStr"/>
    </row>
    <row r="45">
      <c r="A45" s="11" t="inlineStr">
        <is>
          <t>TC-EMP06-003</t>
        </is>
      </c>
      <c r="B45" s="11" t="inlineStr">
        <is>
          <t>EMP-06</t>
        </is>
      </c>
      <c r="C45" s="11" t="inlineStr">
        <is>
          <t>Nhà tuyển dụng</t>
        </is>
      </c>
      <c r="D45" s="11" t="inlineStr">
        <is>
          <t>CV DOC/DOCX chỉ tải về</t>
        </is>
      </c>
      <c r="E45" s="11" t="inlineStr">
        <is>
          <t>Có đơn với CV DOCX</t>
        </is>
      </c>
      <c r="F45" s="11" t="inlineStr">
        <is>
          <t>–</t>
        </is>
      </c>
      <c r="G45" s="11" t="inlineStr">
        <is>
          <t>1. Mở chi tiết đơn</t>
        </is>
      </c>
      <c r="H45" s="11" t="inlineStr">
        <is>
          <t>Không xem trực tiếp, có nút tải</t>
        </is>
      </c>
      <c r="I45" s="11" t="inlineStr">
        <is>
          <t>P1</t>
        </is>
      </c>
      <c r="J45" s="11" t="inlineStr">
        <is>
          <t>Chức năng</t>
        </is>
      </c>
      <c r="K45" s="11" t="inlineStr"/>
      <c r="L45" s="11" t="inlineStr">
        <is>
          <t>Chưa chạy</t>
        </is>
      </c>
      <c r="M45" s="11" t="inlineStr"/>
      <c r="N45" s="11" t="inlineStr"/>
      <c r="O45" s="11" t="inlineStr"/>
      <c r="P45" s="11" t="inlineStr"/>
    </row>
    <row r="46">
      <c r="A46" s="11" t="inlineStr">
        <is>
          <t>TC-EMP06-004</t>
        </is>
      </c>
      <c r="B46" s="11" t="inlineStr">
        <is>
          <t>EMP-06</t>
        </is>
      </c>
      <c r="C46" s="11" t="inlineStr">
        <is>
          <t>Nhà tuyển dụng</t>
        </is>
      </c>
      <c r="D46" s="11" t="inlineStr">
        <is>
          <t>Mở đơn mới tự chuyển Đã xem</t>
        </is>
      </c>
      <c r="E46" s="11" t="inlineStr">
        <is>
          <t>Đơn ở Đã nộp</t>
        </is>
      </c>
      <c r="F46" s="11" t="inlineStr">
        <is>
          <t>–</t>
        </is>
      </c>
      <c r="G46" s="11" t="inlineStr">
        <is>
          <t>1. NTD mở chi tiết đơn
2. uv xem danh sách đơn</t>
        </is>
      </c>
      <c r="H46" s="11" t="inlineStr">
        <is>
          <t>Đơn → Đã xem; số "đơn mới" giảm</t>
        </is>
      </c>
      <c r="I46" s="11" t="inlineStr">
        <is>
          <t>P0</t>
        </is>
      </c>
      <c r="J46" s="11" t="inlineStr">
        <is>
          <t>Trạng thái</t>
        </is>
      </c>
      <c r="K46" s="11" t="inlineStr"/>
      <c r="L46" s="11" t="inlineStr">
        <is>
          <t>Chưa chạy</t>
        </is>
      </c>
      <c r="M46" s="11" t="inlineStr"/>
      <c r="N46" s="11" t="inlineStr"/>
      <c r="O46" s="11" t="inlineStr"/>
      <c r="P46" s="11" t="inlineStr"/>
    </row>
    <row r="47">
      <c r="A47" s="11" t="inlineStr">
        <is>
          <t>TC-EMP06-005</t>
        </is>
      </c>
      <c r="B47" s="11" t="inlineStr">
        <is>
          <t>EMP-06</t>
        </is>
      </c>
      <c r="C47" s="11" t="inlineStr">
        <is>
          <t>Nhà tuyển dụng</t>
        </is>
      </c>
      <c r="D47" s="11" t="inlineStr">
        <is>
          <t>Không xem đơn công ty khác</t>
        </is>
      </c>
      <c r="E47" s="11" t="inlineStr">
        <is>
          <t>ntd2 biết id đơn của ntd1</t>
        </is>
      </c>
      <c r="F47" s="11" t="inlineStr">
        <is>
          <t>–</t>
        </is>
      </c>
      <c r="G47" s="11" t="inlineStr">
        <is>
          <t>1. Mở /employer/applications/&lt;id&gt; bằng ntd2</t>
        </is>
      </c>
      <c r="H47" s="11" t="inlineStr">
        <is>
          <t>Báo không tìm thấy (404)</t>
        </is>
      </c>
      <c r="I47" s="11" t="inlineStr">
        <is>
          <t>P0</t>
        </is>
      </c>
      <c r="J47" s="11" t="inlineStr">
        <is>
          <t>Phân quyền</t>
        </is>
      </c>
      <c r="K47" s="11" t="inlineStr"/>
      <c r="L47" s="11" t="inlineStr">
        <is>
          <t>Chưa chạy</t>
        </is>
      </c>
      <c r="M47" s="11" t="inlineStr"/>
      <c r="N47" s="11" t="inlineStr"/>
      <c r="O47" s="11" t="inlineStr"/>
      <c r="P47" s="11" t="inlineStr"/>
    </row>
    <row r="48">
      <c r="A48" s="11" t="inlineStr">
        <is>
          <t>TC-EMP07-001</t>
        </is>
      </c>
      <c r="B48" s="11" t="inlineStr">
        <is>
          <t>EMP-07</t>
        </is>
      </c>
      <c r="C48" s="11" t="inlineStr">
        <is>
          <t>Nhà tuyển dụng</t>
        </is>
      </c>
      <c r="D48" s="11" t="inlineStr">
        <is>
          <t>Gửi thư mời phỏng vấn</t>
        </is>
      </c>
      <c r="E48" s="11" t="inlineStr">
        <is>
          <t>Đơn ở Phù hợp</t>
        </is>
      </c>
      <c r="F48" s="11" t="inlineStr">
        <is>
          <t>Thời gian: ngày mai 9:00; Địa điểm: Tầng 5, 1 Láng Hạ; Lời nhắn</t>
        </is>
      </c>
      <c r="G48" s="11" t="inlineStr">
        <is>
          <t>1. Chọn Phỏng vấn
2. Nhập thông tin
3. Gửi</t>
        </is>
      </c>
      <c r="H48" s="11" t="inlineStr">
        <is>
          <t>Đơn → Phỏng vấn; ứng viên nhận thông báo + email có lịch</t>
        </is>
      </c>
      <c r="I48" s="11" t="inlineStr">
        <is>
          <t>P0</t>
        </is>
      </c>
      <c r="J48" s="11" t="inlineStr">
        <is>
          <t>Chức năng</t>
        </is>
      </c>
      <c r="K48" s="11" t="inlineStr"/>
      <c r="L48" s="11" t="inlineStr">
        <is>
          <t>Chưa chạy</t>
        </is>
      </c>
      <c r="M48" s="11" t="inlineStr"/>
      <c r="N48" s="11" t="inlineStr"/>
      <c r="O48" s="11" t="inlineStr"/>
      <c r="P48" s="11" t="inlineStr"/>
    </row>
    <row r="49">
      <c r="A49" s="11" t="inlineStr">
        <is>
          <t>TC-EMP07-002</t>
        </is>
      </c>
      <c r="B49" s="11" t="inlineStr">
        <is>
          <t>EMP-07</t>
        </is>
      </c>
      <c r="C49" s="11" t="inlineStr">
        <is>
          <t>Nhà tuyển dụng</t>
        </is>
      </c>
      <c r="D49" s="11" t="inlineStr">
        <is>
          <t>Phỏng vấn thiếu thời gian / địa điểm</t>
        </is>
      </c>
      <c r="E49" s="11" t="inlineStr">
        <is>
          <t>Đơn ở Phù hợp</t>
        </is>
      </c>
      <c r="F49" s="11" t="inlineStr">
        <is>
          <t>Bỏ trống</t>
        </is>
      </c>
      <c r="G49" s="11" t="inlineStr">
        <is>
          <t>1. Chọn Phỏng vấn, bỏ trống
2. Gửi</t>
        </is>
      </c>
      <c r="H49" s="11" t="inlineStr">
        <is>
          <t>Báo "Vui lòng nhập thời gian phỏng vấn" / "Vui lòng nhập địa điểm / hình thức phỏng vấn"</t>
        </is>
      </c>
      <c r="I49" s="11" t="inlineStr">
        <is>
          <t>P0</t>
        </is>
      </c>
      <c r="J49" s="11" t="inlineStr">
        <is>
          <t>Validate</t>
        </is>
      </c>
      <c r="K49" s="11" t="inlineStr"/>
      <c r="L49" s="11" t="inlineStr">
        <is>
          <t>Chưa chạy</t>
        </is>
      </c>
      <c r="M49" s="11" t="inlineStr"/>
      <c r="N49" s="11" t="inlineStr"/>
      <c r="O49" s="11" t="inlineStr"/>
      <c r="P49" s="11" t="inlineStr"/>
    </row>
    <row r="50">
      <c r="A50" s="11" t="inlineStr">
        <is>
          <t>TC-EMP07-003</t>
        </is>
      </c>
      <c r="B50" s="11" t="inlineStr">
        <is>
          <t>EMP-07</t>
        </is>
      </c>
      <c r="C50" s="11" t="inlineStr">
        <is>
          <t>Nhà tuyển dụng</t>
        </is>
      </c>
      <c r="D50" s="11" t="inlineStr">
        <is>
          <t>Từ chối theo mẫu có lời nhắn</t>
        </is>
      </c>
      <c r="E50" s="11" t="inlineStr">
        <is>
          <t>Đơn ở Đã xem</t>
        </is>
      </c>
      <c r="F50" s="11" t="inlineStr">
        <is>
          <t>Lời nhắn: Cảm ơn bạn…</t>
        </is>
      </c>
      <c r="G50" s="11" t="inlineStr">
        <is>
          <t>1. Chọn Từ chối
2. Chọn mẫu, sửa lời nhắn
3. Gửi</t>
        </is>
      </c>
      <c r="H50" s="11" t="inlineStr">
        <is>
          <t>Đơn → Từ chối; ứng viên nhận thông báo và email đúng lời nhắn</t>
        </is>
      </c>
      <c r="I50" s="11" t="inlineStr">
        <is>
          <t>P0</t>
        </is>
      </c>
      <c r="J50" s="11" t="inlineStr">
        <is>
          <t>Chức năng</t>
        </is>
      </c>
      <c r="K50" s="11" t="inlineStr"/>
      <c r="L50" s="11" t="inlineStr">
        <is>
          <t>Chưa chạy</t>
        </is>
      </c>
      <c r="M50" s="11" t="inlineStr"/>
      <c r="N50" s="11" t="inlineStr"/>
      <c r="O50" s="11" t="inlineStr"/>
      <c r="P50" s="11" t="inlineStr"/>
    </row>
    <row r="51">
      <c r="A51" s="11" t="inlineStr">
        <is>
          <t>TC-EMP07-004</t>
        </is>
      </c>
      <c r="B51" s="11" t="inlineStr">
        <is>
          <t>EMP-07</t>
        </is>
      </c>
      <c r="C51" s="11" t="inlineStr">
        <is>
          <t>Nhà tuyển dụng</t>
        </is>
      </c>
      <c r="D51" s="11" t="inlineStr">
        <is>
          <t>Lời nhắn 3000 / 3001 ký tự</t>
        </is>
      </c>
      <c r="E51" s="11" t="inlineStr">
        <is>
          <t>Đơn ở Đã xem</t>
        </is>
      </c>
      <c r="F51" s="11" t="inlineStr">
        <is>
          <t>Lời nhắn 3000; 3001</t>
        </is>
      </c>
      <c r="G51" s="11" t="inlineStr">
        <is>
          <t>1. Gửi với từng lời nhắn</t>
        </is>
      </c>
      <c r="H51" s="11" t="inlineStr">
        <is>
          <t>3000 hợp lệ; 3001 bị chặn</t>
        </is>
      </c>
      <c r="I51" s="11" t="inlineStr">
        <is>
          <t>P2</t>
        </is>
      </c>
      <c r="J51" s="11" t="inlineStr">
        <is>
          <t>Biên</t>
        </is>
      </c>
      <c r="K51" s="11" t="inlineStr"/>
      <c r="L51" s="11" t="inlineStr">
        <is>
          <t>Chưa chạy</t>
        </is>
      </c>
      <c r="M51" s="11" t="inlineStr"/>
      <c r="N51" s="11" t="inlineStr"/>
      <c r="O51" s="11" t="inlineStr"/>
      <c r="P51" s="11" t="inlineStr"/>
    </row>
    <row r="52">
      <c r="A52" s="11" t="inlineStr">
        <is>
          <t>TC-EMP08-001</t>
        </is>
      </c>
      <c r="B52" s="11" t="inlineStr">
        <is>
          <t>EMP-08</t>
        </is>
      </c>
      <c r="C52" s="11" t="inlineStr">
        <is>
          <t>Nhà tuyển dụng</t>
        </is>
      </c>
      <c r="D52" s="11" t="inlineStr">
        <is>
          <t>Ghi chú nội bộ</t>
        </is>
      </c>
      <c r="E52" s="11" t="inlineStr">
        <is>
          <t>ntd1 mở chi tiết đơn</t>
        </is>
      </c>
      <c r="F52" s="11" t="inlineStr">
        <is>
          <t>Ghi chú: "QA - gọi lại thứ 2"</t>
        </is>
      </c>
      <c r="G52" s="11" t="inlineStr">
        <is>
          <t>1. Nhập ghi chú
2. Lưu
3. ntd3 mở cùng đơn</t>
        </is>
      </c>
      <c r="H52" s="11" t="inlineStr">
        <is>
          <t>Lưu thành công; ntd3 thấy ghi chú</t>
        </is>
      </c>
      <c r="I52" s="11" t="inlineStr">
        <is>
          <t>P1</t>
        </is>
      </c>
      <c r="J52" s="11" t="inlineStr">
        <is>
          <t>Chức năng</t>
        </is>
      </c>
      <c r="K52" s="11" t="inlineStr"/>
      <c r="L52" s="11" t="inlineStr">
        <is>
          <t>Chưa chạy</t>
        </is>
      </c>
      <c r="M52" s="11" t="inlineStr"/>
      <c r="N52" s="11" t="inlineStr"/>
      <c r="O52" s="11" t="inlineStr"/>
      <c r="P52" s="11" t="inlineStr"/>
    </row>
    <row r="53">
      <c r="A53" s="11" t="inlineStr">
        <is>
          <t>TC-EMP08-002</t>
        </is>
      </c>
      <c r="B53" s="11" t="inlineStr">
        <is>
          <t>EMP-08</t>
        </is>
      </c>
      <c r="C53" s="11" t="inlineStr">
        <is>
          <t>Nhà tuyển dụng</t>
        </is>
      </c>
      <c r="D53" s="11" t="inlineStr">
        <is>
          <t>Ứng viên không thấy ghi chú</t>
        </is>
      </c>
      <c r="E53" s="11" t="inlineStr">
        <is>
          <t>Đơn có ghi chú nội bộ</t>
        </is>
      </c>
      <c r="F53" s="11" t="inlineStr">
        <is>
          <t>–</t>
        </is>
      </c>
      <c r="G53" s="11" t="inlineStr">
        <is>
          <t>1. uv mở chi tiết đơn; gọi API đơn của ứng viên</t>
        </is>
      </c>
      <c r="H53" s="11" t="inlineStr">
        <is>
          <t>Không có nội dung ghi chú trong giao diện và response</t>
        </is>
      </c>
      <c r="I53" s="11" t="inlineStr">
        <is>
          <t>P0</t>
        </is>
      </c>
      <c r="J53" s="11" t="inlineStr">
        <is>
          <t>Bảo mật</t>
        </is>
      </c>
      <c r="K53" s="11" t="inlineStr"/>
      <c r="L53" s="11" t="inlineStr">
        <is>
          <t>Chưa chạy</t>
        </is>
      </c>
      <c r="M53" s="11" t="inlineStr"/>
      <c r="N53" s="11" t="inlineStr"/>
      <c r="O53" s="11" t="inlineStr"/>
      <c r="P53" s="11" t="inlineStr"/>
    </row>
    <row r="54">
      <c r="A54" s="11" t="inlineStr">
        <is>
          <t>TC-EMP09-001</t>
        </is>
      </c>
      <c r="B54" s="11" t="inlineStr">
        <is>
          <t>EMP-09</t>
        </is>
      </c>
      <c r="C54" s="11" t="inlineStr">
        <is>
          <t>Nhà tuyển dụng</t>
        </is>
      </c>
      <c r="D54" s="11" t="inlineStr">
        <is>
          <t>Tìm hồ sơ ứng viên</t>
        </is>
      </c>
      <c r="E54" s="11" t="inlineStr">
        <is>
          <t>Có ứng viên bật cho phép tìm</t>
        </is>
      </c>
      <c r="F54" s="11" t="inlineStr">
        <is>
          <t>Kỹ năng: ReactJS; Hà Nội; KN ≥ 2</t>
        </is>
      </c>
      <c r="G54" s="11" t="inlineStr">
        <is>
          <t>1. Mở /employer/candidates
2. Nhập bộ lọc</t>
        </is>
      </c>
      <c r="H54" s="11" t="inlineStr">
        <is>
          <t>Chỉ ra ứng viên khớp và đã bật cho phép tìm</t>
        </is>
      </c>
      <c r="I54" s="11" t="inlineStr">
        <is>
          <t>P2</t>
        </is>
      </c>
      <c r="J54" s="11" t="inlineStr">
        <is>
          <t>Chức năng</t>
        </is>
      </c>
      <c r="K54" s="11" t="inlineStr"/>
      <c r="L54" s="11" t="inlineStr">
        <is>
          <t>Chưa chạy</t>
        </is>
      </c>
      <c r="M54" s="11" t="inlineStr"/>
      <c r="N54" s="11" t="inlineStr"/>
      <c r="O54" s="11" t="inlineStr"/>
      <c r="P54" s="11" t="inlineStr"/>
    </row>
    <row r="55">
      <c r="A55" s="11" t="inlineStr">
        <is>
          <t>TC-EMP09-002</t>
        </is>
      </c>
      <c r="B55" s="11" t="inlineStr">
        <is>
          <t>EMP-09</t>
        </is>
      </c>
      <c r="C55" s="11" t="inlineStr">
        <is>
          <t>Nhà tuyển dụng</t>
        </is>
      </c>
      <c r="D55" s="11" t="inlineStr">
        <is>
          <t>Chi tiết hồ sơ không lộ thông tin ngoài phạm vi</t>
        </is>
      </c>
      <c r="E55" s="11" t="inlineStr">
        <is>
          <t>ntd1 xem hồ sơ ứng viên từ tìm kiếm</t>
        </is>
      </c>
      <c r="F55" s="11" t="inlineStr">
        <is>
          <t>–</t>
        </is>
      </c>
      <c r="G55" s="11" t="inlineStr">
        <is>
          <t>1. Mở chi tiết hồ sơ
2. Kiểm tra response API</t>
        </is>
      </c>
      <c r="H55" s="11" t="inlineStr">
        <is>
          <t>Chỉ thông tin công khai theo thiết kế; CV mở qua link có chữ ký</t>
        </is>
      </c>
      <c r="I55" s="11" t="inlineStr">
        <is>
          <t>P1</t>
        </is>
      </c>
      <c r="J55" s="11" t="inlineStr">
        <is>
          <t>Bảo mật</t>
        </is>
      </c>
      <c r="K55" s="11" t="inlineStr"/>
      <c r="L55" s="11" t="inlineStr">
        <is>
          <t>Chưa chạy</t>
        </is>
      </c>
      <c r="M55" s="11" t="inlineStr"/>
      <c r="N55" s="11" t="inlineStr"/>
      <c r="O55" s="11" t="inlineStr"/>
      <c r="P55" s="11" t="inlineStr"/>
    </row>
    <row r="56">
      <c r="A56" s="11" t="inlineStr">
        <is>
          <t>TC-EMP10-001</t>
        </is>
      </c>
      <c r="B56" s="11" t="inlineStr">
        <is>
          <t>EMP-10</t>
        </is>
      </c>
      <c r="C56" s="11" t="inlineStr">
        <is>
          <t>Nhà tuyển dụng</t>
        </is>
      </c>
      <c r="D56" s="11" t="inlineStr">
        <is>
          <t>Trang tổng quan NTD</t>
        </is>
      </c>
      <c r="E56" s="11" t="inlineStr">
        <is>
          <t>ntd1 có tin, đơn</t>
        </is>
      </c>
      <c r="F56" s="11" t="inlineStr">
        <is>
          <t>–</t>
        </is>
      </c>
      <c r="G56" s="11" t="inlineStr">
        <is>
          <t>1. Mở /employer</t>
        </is>
      </c>
      <c r="H56" s="11" t="inlineStr">
        <is>
          <t>Số tin đang tuyển, lượt xem, tổng đơn, đơn chưa xem khớp dữ liệu; có biểu đồ 30 ngày, phễu, top 5 tin</t>
        </is>
      </c>
      <c r="I56" s="11" t="inlineStr">
        <is>
          <t>P1</t>
        </is>
      </c>
      <c r="J56" s="11" t="inlineStr">
        <is>
          <t>Chức năng</t>
        </is>
      </c>
      <c r="K56" s="11" t="inlineStr"/>
      <c r="L56" s="11" t="inlineStr">
        <is>
          <t>Chưa chạy</t>
        </is>
      </c>
      <c r="M56" s="11" t="inlineStr"/>
      <c r="N56" s="11" t="inlineStr"/>
      <c r="O56" s="11" t="inlineStr"/>
      <c r="P56" s="11" t="inlineStr"/>
    </row>
    <row r="57">
      <c r="A57" s="11" t="inlineStr">
        <is>
          <t>TC-EMP10-002</t>
        </is>
      </c>
      <c r="B57" s="11" t="inlineStr">
        <is>
          <t>EMP-10</t>
        </is>
      </c>
      <c r="C57" s="11" t="inlineStr">
        <is>
          <t>Nhà tuyển dụng</t>
        </is>
      </c>
      <c r="D57" s="11" t="inlineStr">
        <is>
          <t>Số liệu cập nhật sau đơn mới</t>
        </is>
      </c>
      <c r="E57" s="11" t="inlineStr">
        <is>
          <t>Ghi lại tổng đơn</t>
        </is>
      </c>
      <c r="F57" s="11" t="inlineStr">
        <is>
          <t>–</t>
        </is>
      </c>
      <c r="G57" s="11" t="inlineStr">
        <is>
          <t>1. uv ứng tuyển tin của ntd1
2. Tải lại tổng quan</t>
        </is>
      </c>
      <c r="H57" s="11" t="inlineStr">
        <is>
          <t>Tổng đơn và đơn chưa xem +1</t>
        </is>
      </c>
      <c r="I57" s="11" t="inlineStr">
        <is>
          <t>P2</t>
        </is>
      </c>
      <c r="J57" s="11" t="inlineStr">
        <is>
          <t>Chức năng</t>
        </is>
      </c>
      <c r="K57" s="11" t="inlineStr"/>
      <c r="L57" s="11" t="inlineStr">
        <is>
          <t>Chưa chạy</t>
        </is>
      </c>
      <c r="M57" s="11" t="inlineStr"/>
      <c r="N57" s="11" t="inlineStr"/>
      <c r="O57" s="11" t="inlineStr"/>
      <c r="P57" s="11" t="inlineStr"/>
    </row>
    <row r="58">
      <c r="A58" s="11" t="inlineStr">
        <is>
          <t>TC-EMP10-003</t>
        </is>
      </c>
      <c r="B58" s="11" t="inlineStr">
        <is>
          <t>EMP-10</t>
        </is>
      </c>
      <c r="C58" s="11" t="inlineStr">
        <is>
          <t>Nhà tuyển dụng</t>
        </is>
      </c>
      <c r="D58" s="11" t="inlineStr">
        <is>
          <t>Công ty mới chưa có dữ liệu</t>
        </is>
      </c>
      <c r="E58" s="11" t="inlineStr">
        <is>
          <t>qa.ntd01 vừa tạo công ty</t>
        </is>
      </c>
      <c r="F58" s="11" t="inlineStr">
        <is>
          <t>–</t>
        </is>
      </c>
      <c r="G58" s="11" t="inlineStr">
        <is>
          <t>1. Mở /employer</t>
        </is>
      </c>
      <c r="H58" s="11" t="inlineStr">
        <is>
          <t>Hiện số 0 / trạng thái trống, không lỗi</t>
        </is>
      </c>
      <c r="I58" s="11" t="inlineStr">
        <is>
          <t>P2</t>
        </is>
      </c>
      <c r="J58" s="11" t="inlineStr">
        <is>
          <t>Chức năng</t>
        </is>
      </c>
      <c r="K58" s="11" t="inlineStr"/>
      <c r="L58" s="11" t="inlineStr">
        <is>
          <t>Chưa chạy</t>
        </is>
      </c>
      <c r="M58" s="11" t="inlineStr"/>
      <c r="N58" s="11" t="inlineStr"/>
      <c r="O58" s="11" t="inlineStr"/>
      <c r="P58" s="11" t="inlineStr"/>
    </row>
    <row r="59">
      <c r="A59" s="11" t="inlineStr">
        <is>
          <t>TC-EMP11-001</t>
        </is>
      </c>
      <c r="B59" s="11" t="inlineStr">
        <is>
          <t>EMP-11</t>
        </is>
      </c>
      <c r="C59" s="11" t="inlineStr">
        <is>
          <t>Nhà tuyển dụng</t>
        </is>
      </c>
      <c r="D59" s="11" t="inlineStr">
        <is>
          <t>Chủ công ty mời đồng nghiệp</t>
        </is>
      </c>
      <c r="E59" s="11" t="inlineStr">
        <is>
          <t>ntd1 (Chủ) đăng nhập</t>
        </is>
      </c>
      <c r="F59" s="11" t="inlineStr">
        <is>
          <t>Email: qa.ntd02@test.local; Vai trò: Thành viên</t>
        </is>
      </c>
      <c r="G59" s="11" t="inlineStr">
        <is>
          <t>1. Mở /employer/team
2. Nhập email, chọn vai trò
3. Bấm Mời</t>
        </is>
      </c>
      <c r="H59" s="11" t="inlineStr">
        <is>
          <t>Lời mời ở danh sách đang chờ; có link sao chép được; email mời gửi đi</t>
        </is>
      </c>
      <c r="I59" s="11" t="inlineStr">
        <is>
          <t>P2</t>
        </is>
      </c>
      <c r="J59" s="11" t="inlineStr">
        <is>
          <t>Chức năng</t>
        </is>
      </c>
      <c r="K59" s="11" t="inlineStr"/>
      <c r="L59" s="11" t="inlineStr">
        <is>
          <t>Chưa chạy</t>
        </is>
      </c>
      <c r="M59" s="11" t="inlineStr"/>
      <c r="N59" s="11" t="inlineStr"/>
      <c r="O59" s="11" t="inlineStr"/>
      <c r="P59" s="11" t="inlineStr"/>
    </row>
    <row r="60">
      <c r="A60" s="11" t="inlineStr">
        <is>
          <t>TC-EMP11-002</t>
        </is>
      </c>
      <c r="B60" s="11" t="inlineStr">
        <is>
          <t>EMP-11</t>
        </is>
      </c>
      <c r="C60" s="11" t="inlineStr">
        <is>
          <t>Nhà tuyển dụng</t>
        </is>
      </c>
      <c r="D60" s="11" t="inlineStr">
        <is>
          <t>Nhận lời mời bằng tài khoản mới</t>
        </is>
      </c>
      <c r="E60" s="11" t="inlineStr">
        <is>
          <t>Có link mời qa.ntd02; chưa đăng nhập</t>
        </is>
      </c>
      <c r="F60" s="11" t="inlineStr">
        <is>
          <t>MK: Qa123456</t>
        </is>
      </c>
      <c r="G60" s="11" t="inlineStr">
        <is>
          <t>1. Mở link
2. Bấm Đăng ký (email điền sẵn), chọn NTD
3. Bấm Tham gia</t>
        </is>
      </c>
      <c r="H60" s="11" t="inlineStr">
        <is>
          <t>Vào /employer của công ty ntd1 với vai trò Thành viên; ntd1 nhận thông báo</t>
        </is>
      </c>
      <c r="I60" s="11" t="inlineStr">
        <is>
          <t>P2</t>
        </is>
      </c>
      <c r="J60" s="11" t="inlineStr">
        <is>
          <t>Chức năng</t>
        </is>
      </c>
      <c r="K60" s="11" t="inlineStr"/>
      <c r="L60" s="11" t="inlineStr">
        <is>
          <t>Chưa chạy</t>
        </is>
      </c>
      <c r="M60" s="11" t="inlineStr"/>
      <c r="N60" s="11" t="inlineStr"/>
      <c r="O60" s="11" t="inlineStr"/>
      <c r="P60" s="11" t="inlineStr"/>
    </row>
    <row r="61">
      <c r="A61" s="11" t="inlineStr">
        <is>
          <t>TC-EMP11-003</t>
        </is>
      </c>
      <c r="B61" s="11" t="inlineStr">
        <is>
          <t>EMP-11</t>
        </is>
      </c>
      <c r="C61" s="11" t="inlineStr">
        <is>
          <t>Nhà tuyển dụng</t>
        </is>
      </c>
      <c r="D61" s="11" t="inlineStr">
        <is>
          <t>Nhận lời mời bằng tài khoản NTD đã có</t>
        </is>
      </c>
      <c r="E61" s="11" t="inlineStr">
        <is>
          <t>qa.ntd01 có tài khoản nhưng chưa có công ty; ntd1 mời qa.ntd01</t>
        </is>
      </c>
      <c r="F61" s="11" t="inlineStr">
        <is>
          <t>–</t>
        </is>
      </c>
      <c r="G61" s="11" t="inlineStr">
        <is>
          <t>1. qa.ntd01 đăng nhập
2. Mở link mời
3. Bấm Tham gia</t>
        </is>
      </c>
      <c r="H61" s="11" t="inlineStr">
        <is>
          <t>Tham gia thành công; qa.ntd01 nhận thông báo trong web khi được mời</t>
        </is>
      </c>
      <c r="I61" s="11" t="inlineStr">
        <is>
          <t>P2</t>
        </is>
      </c>
      <c r="J61" s="11" t="inlineStr">
        <is>
          <t>Chức năng</t>
        </is>
      </c>
      <c r="K61" s="11" t="inlineStr"/>
      <c r="L61" s="11" t="inlineStr">
        <is>
          <t>Chưa chạy</t>
        </is>
      </c>
      <c r="M61" s="11" t="inlineStr"/>
      <c r="N61" s="11" t="inlineStr"/>
      <c r="O61" s="11" t="inlineStr"/>
      <c r="P61" s="11" t="inlineStr"/>
    </row>
    <row r="62">
      <c r="A62" s="11" t="inlineStr">
        <is>
          <t>TC-EMP11-004</t>
        </is>
      </c>
      <c r="B62" s="11" t="inlineStr">
        <is>
          <t>EMP-11</t>
        </is>
      </c>
      <c r="C62" s="11" t="inlineStr">
        <is>
          <t>Nhà tuyển dụng</t>
        </is>
      </c>
      <c r="D62" s="11" t="inlineStr">
        <is>
          <t>Đăng nhập sai tài khoản khi nhận lời mời</t>
        </is>
      </c>
      <c r="E62" s="11" t="inlineStr">
        <is>
          <t>Link mời cho qa.ntd02; đang đăng nhập ntd2</t>
        </is>
      </c>
      <c r="F62" s="11" t="inlineStr">
        <is>
          <t>–</t>
        </is>
      </c>
      <c r="G62" s="11" t="inlineStr">
        <is>
          <t>1. Mở link
2. Bấm Tham gia</t>
        </is>
      </c>
      <c r="H62" s="11" t="inlineStr">
        <is>
          <t>Báo "Lời mời dành cho qa.ntd02@test.local. Vui lòng đăng nhập đúng tài khoản này."; có nút đăng xuất</t>
        </is>
      </c>
      <c r="I62" s="11" t="inlineStr">
        <is>
          <t>P2</t>
        </is>
      </c>
      <c r="J62" s="11" t="inlineStr">
        <is>
          <t>Phân quyền</t>
        </is>
      </c>
      <c r="K62" s="11" t="inlineStr"/>
      <c r="L62" s="11" t="inlineStr">
        <is>
          <t>Chưa chạy</t>
        </is>
      </c>
      <c r="M62" s="11" t="inlineStr"/>
      <c r="N62" s="11" t="inlineStr"/>
      <c r="O62" s="11" t="inlineStr"/>
      <c r="P62" s="11" t="inlineStr"/>
    </row>
    <row r="63">
      <c r="A63" s="11" t="inlineStr">
        <is>
          <t>TC-EMP11-005</t>
        </is>
      </c>
      <c r="B63" s="11" t="inlineStr">
        <is>
          <t>EMP-11</t>
        </is>
      </c>
      <c r="C63" s="11" t="inlineStr">
        <is>
          <t>Nhà tuyển dụng</t>
        </is>
      </c>
      <c r="D63" s="11" t="inlineStr">
        <is>
          <t>Mời tài khoản ứng viên</t>
        </is>
      </c>
      <c r="E63" s="11" t="inlineStr">
        <is>
          <t>ntd1 đăng nhập</t>
        </is>
      </c>
      <c r="F63" s="11" t="inlineStr">
        <is>
          <t>Email: uv1@demo.local</t>
        </is>
      </c>
      <c r="G63" s="11" t="inlineStr">
        <is>
          <t>1. Mời uv1</t>
        </is>
      </c>
      <c r="H63" s="11" t="inlineStr">
        <is>
          <t>Báo "Email này đang là tài khoản ứng viên / quản trị, không thể mời…"</t>
        </is>
      </c>
      <c r="I63" s="11" t="inlineStr">
        <is>
          <t>P2</t>
        </is>
      </c>
      <c r="J63" s="11" t="inlineStr">
        <is>
          <t>Validate</t>
        </is>
      </c>
      <c r="K63" s="11" t="inlineStr"/>
      <c r="L63" s="11" t="inlineStr">
        <is>
          <t>Chưa chạy</t>
        </is>
      </c>
      <c r="M63" s="11" t="inlineStr"/>
      <c r="N63" s="11" t="inlineStr"/>
      <c r="O63" s="11" t="inlineStr"/>
      <c r="P63" s="11" t="inlineStr"/>
    </row>
    <row r="64">
      <c r="A64" s="11" t="inlineStr">
        <is>
          <t>TC-EMP11-006</t>
        </is>
      </c>
      <c r="B64" s="11" t="inlineStr">
        <is>
          <t>EMP-11</t>
        </is>
      </c>
      <c r="C64" s="11" t="inlineStr">
        <is>
          <t>Nhà tuyển dụng</t>
        </is>
      </c>
      <c r="D64" s="11" t="inlineStr">
        <is>
          <t>Mời NTD đã thuộc công ty khác</t>
        </is>
      </c>
      <c r="E64" s="11" t="inlineStr">
        <is>
          <t>ntd1 đăng nhập</t>
        </is>
      </c>
      <c r="F64" s="11" t="inlineStr">
        <is>
          <t>Email: ntd2@demo.local</t>
        </is>
      </c>
      <c r="G64" s="11" t="inlineStr">
        <is>
          <t>1. Mời ntd2</t>
        </is>
      </c>
      <c r="H64" s="11" t="inlineStr">
        <is>
          <t>Báo "Tài khoản này đang thuộc một công ty khác"</t>
        </is>
      </c>
      <c r="I64" s="11" t="inlineStr">
        <is>
          <t>P2</t>
        </is>
      </c>
      <c r="J64" s="11" t="inlineStr">
        <is>
          <t>Validate</t>
        </is>
      </c>
      <c r="K64" s="11" t="inlineStr"/>
      <c r="L64" s="11" t="inlineStr">
        <is>
          <t>Chưa chạy</t>
        </is>
      </c>
      <c r="M64" s="11" t="inlineStr"/>
      <c r="N64" s="11" t="inlineStr"/>
      <c r="O64" s="11" t="inlineStr"/>
      <c r="P64" s="11" t="inlineStr"/>
    </row>
    <row r="65">
      <c r="A65" s="11" t="inlineStr">
        <is>
          <t>TC-EMP11-007</t>
        </is>
      </c>
      <c r="B65" s="11" t="inlineStr">
        <is>
          <t>EMP-11</t>
        </is>
      </c>
      <c r="C65" s="11" t="inlineStr">
        <is>
          <t>Nhà tuyển dụng</t>
        </is>
      </c>
      <c r="D65" s="11" t="inlineStr">
        <is>
          <t>Mời lại cùng email</t>
        </is>
      </c>
      <c r="E65" s="11" t="inlineStr">
        <is>
          <t>Đã có lời mời qa.ntd02 đang chờ</t>
        </is>
      </c>
      <c r="F65" s="11" t="inlineStr">
        <is>
          <t>–</t>
        </is>
      </c>
      <c r="G65" s="11" t="inlineStr">
        <is>
          <t>1. Mời lại qa.ntd02
2. Mở link cũ</t>
        </is>
      </c>
      <c r="H65" s="11" t="inlineStr">
        <is>
          <t>Lời mời cũ bị thu hồi (link cũ báo không hợp lệ), chỉ link mới dùng được</t>
        </is>
      </c>
      <c r="I65" s="11" t="inlineStr">
        <is>
          <t>P2</t>
        </is>
      </c>
      <c r="J65" s="11" t="inlineStr">
        <is>
          <t>Chức năng</t>
        </is>
      </c>
      <c r="K65" s="11" t="inlineStr"/>
      <c r="L65" s="11" t="inlineStr">
        <is>
          <t>Chưa chạy</t>
        </is>
      </c>
      <c r="M65" s="11" t="inlineStr"/>
      <c r="N65" s="11" t="inlineStr"/>
      <c r="O65" s="11" t="inlineStr"/>
      <c r="P65" s="11" t="inlineStr"/>
    </row>
    <row r="66">
      <c r="A66" s="11" t="inlineStr">
        <is>
          <t>TC-EMP11-008</t>
        </is>
      </c>
      <c r="B66" s="11" t="inlineStr">
        <is>
          <t>EMP-11</t>
        </is>
      </c>
      <c r="C66" s="11" t="inlineStr">
        <is>
          <t>Nhà tuyển dụng</t>
        </is>
      </c>
      <c r="D66" s="11" t="inlineStr">
        <is>
          <t>Tối đa 20 lời mời đang chờ</t>
        </is>
      </c>
      <c r="E66" s="11" t="inlineStr">
        <is>
          <t>Công ty có 20 lời mời đang chờ</t>
        </is>
      </c>
      <c r="F66" s="11" t="inlineStr">
        <is>
          <t>Email thứ 21</t>
        </is>
      </c>
      <c r="G66" s="11" t="inlineStr">
        <is>
          <t>1. Mời email thứ 21</t>
        </is>
      </c>
      <c r="H66" s="11" t="inlineStr">
        <is>
          <t>Báo "Tối đa 20 lời mời đang chờ"</t>
        </is>
      </c>
      <c r="I66" s="11" t="inlineStr">
        <is>
          <t>P2</t>
        </is>
      </c>
      <c r="J66" s="11" t="inlineStr">
        <is>
          <t>Biên</t>
        </is>
      </c>
      <c r="K66" s="11" t="inlineStr"/>
      <c r="L66" s="11" t="inlineStr">
        <is>
          <t>Chưa chạy</t>
        </is>
      </c>
      <c r="M66" s="11" t="inlineStr"/>
      <c r="N66" s="11" t="inlineStr"/>
      <c r="O66" s="11" t="inlineStr"/>
      <c r="P66" s="11" t="inlineStr"/>
    </row>
    <row r="67">
      <c r="A67" s="11" t="inlineStr">
        <is>
          <t>TC-EMP11-009</t>
        </is>
      </c>
      <c r="B67" s="11" t="inlineStr">
        <is>
          <t>EMP-11</t>
        </is>
      </c>
      <c r="C67" s="11" t="inlineStr">
        <is>
          <t>Nhà tuyển dụng</t>
        </is>
      </c>
      <c r="D67" s="11" t="inlineStr">
        <is>
          <t>Link mời hết hạn sau 7 ngày</t>
        </is>
      </c>
      <c r="E67" s="11" t="inlineStr">
        <is>
          <t>Lời mời tạo &gt; 7 ngày (giả lập expiresAt trong DB)</t>
        </is>
      </c>
      <c r="F67" s="11" t="inlineStr">
        <is>
          <t>–</t>
        </is>
      </c>
      <c r="G67" s="11" t="inlineStr">
        <is>
          <t>1. Mở link
2. Bấm Tham gia</t>
        </is>
      </c>
      <c r="H67" s="11" t="inlineStr">
        <is>
          <t>Báo "Lời mời đã hết hạn, hãy nhờ người mời gửi lại"</t>
        </is>
      </c>
      <c r="I67" s="11" t="inlineStr">
        <is>
          <t>P2</t>
        </is>
      </c>
      <c r="J67" s="11" t="inlineStr">
        <is>
          <t>Biên</t>
        </is>
      </c>
      <c r="K67" s="11" t="inlineStr"/>
      <c r="L67" s="11" t="inlineStr">
        <is>
          <t>Chưa chạy</t>
        </is>
      </c>
      <c r="M67" s="11" t="inlineStr"/>
      <c r="N67" s="11" t="inlineStr"/>
      <c r="O67" s="11" t="inlineStr"/>
      <c r="P67" s="11" t="inlineStr"/>
    </row>
    <row r="68">
      <c r="A68" s="11" t="inlineStr">
        <is>
          <t>TC-EMP11-010</t>
        </is>
      </c>
      <c r="B68" s="11" t="inlineStr">
        <is>
          <t>EMP-11</t>
        </is>
      </c>
      <c r="C68" s="11" t="inlineStr">
        <is>
          <t>Nhà tuyển dụng</t>
        </is>
      </c>
      <c r="D68" s="11" t="inlineStr">
        <is>
          <t>Thu hồi lời mời</t>
        </is>
      </c>
      <c r="E68" s="11" t="inlineStr">
        <is>
          <t>Có lời mời đang chờ</t>
        </is>
      </c>
      <c r="F68" s="11" t="inlineStr">
        <is>
          <t>–</t>
        </is>
      </c>
      <c r="G68" s="11" t="inlineStr">
        <is>
          <t>1. Bấm Thu hồi
2. Mở link mời đó</t>
        </is>
      </c>
      <c r="H68" s="11" t="inlineStr">
        <is>
          <t>Lời mời biến mất khỏi danh sách; mở link báo "Lời mời không hợp lệ hoặc đã bị thu hồi"</t>
        </is>
      </c>
      <c r="I68" s="11" t="inlineStr">
        <is>
          <t>P2</t>
        </is>
      </c>
      <c r="J68" s="11" t="inlineStr">
        <is>
          <t>Chức năng</t>
        </is>
      </c>
      <c r="K68" s="11" t="inlineStr"/>
      <c r="L68" s="11" t="inlineStr">
        <is>
          <t>Chưa chạy</t>
        </is>
      </c>
      <c r="M68" s="11" t="inlineStr"/>
      <c r="N68" s="11" t="inlineStr"/>
      <c r="O68" s="11" t="inlineStr"/>
      <c r="P68" s="11" t="inlineStr"/>
    </row>
    <row r="69">
      <c r="A69" s="11" t="inlineStr">
        <is>
          <t>TC-EMP11-011</t>
        </is>
      </c>
      <c r="B69" s="11" t="inlineStr">
        <is>
          <t>EMP-11</t>
        </is>
      </c>
      <c r="C69" s="11" t="inlineStr">
        <is>
          <t>Nhà tuyển dụng</t>
        </is>
      </c>
      <c r="D69" s="11" t="inlineStr">
        <is>
          <t>Thành viên không mời / quản lý được đội</t>
        </is>
      </c>
      <c r="E69" s="11" t="inlineStr">
        <is>
          <t>ntd3 (Thành viên) đăng nhập</t>
        </is>
      </c>
      <c r="F69" s="11" t="inlineStr">
        <is>
          <t>–</t>
        </is>
      </c>
      <c r="G69" s="11" t="inlineStr">
        <is>
          <t>1. Mở /employer/team
2. Gọi API mời bằng token ntd3</t>
        </is>
      </c>
      <c r="H69" s="11" t="inlineStr">
        <is>
          <t>Không có form mời, không có nút đổi vai trò/xóa; API trả 403</t>
        </is>
      </c>
      <c r="I69" s="11" t="inlineStr">
        <is>
          <t>P2</t>
        </is>
      </c>
      <c r="J69" s="11" t="inlineStr">
        <is>
          <t>Phân quyền</t>
        </is>
      </c>
      <c r="K69" s="11" t="inlineStr"/>
      <c r="L69" s="11" t="inlineStr">
        <is>
          <t>Chưa chạy</t>
        </is>
      </c>
      <c r="M69" s="11" t="inlineStr"/>
      <c r="N69" s="11" t="inlineStr"/>
      <c r="O69" s="11" t="inlineStr"/>
      <c r="P69" s="11" t="inlineStr"/>
    </row>
    <row r="70">
      <c r="A70" s="11" t="inlineStr">
        <is>
          <t>TC-EMP11-012</t>
        </is>
      </c>
      <c r="B70" s="11" t="inlineStr">
        <is>
          <t>EMP-11</t>
        </is>
      </c>
      <c r="C70" s="11" t="inlineStr">
        <is>
          <t>Nhà tuyển dụng</t>
        </is>
      </c>
      <c r="D70" s="11" t="inlineStr">
        <is>
          <t>Thành viên chỉ xem hồ sơ công ty</t>
        </is>
      </c>
      <c r="E70" s="11" t="inlineStr">
        <is>
          <t>ntd3 đăng nhập</t>
        </is>
      </c>
      <c r="F70" s="11" t="inlineStr">
        <is>
          <t>–</t>
        </is>
      </c>
      <c r="G70" s="11" t="inlineStr">
        <is>
          <t>1. Mở /employer/company
2. Gọi PATCH /api/employer/company bằng token ntd3</t>
        </is>
      </c>
      <c r="H70" s="11" t="inlineStr">
        <is>
          <t>Thông báo chỉ xem; ô nhập khóa, không có nút Lưu, đổi logo/ảnh bìa, xác minh; API trả 403</t>
        </is>
      </c>
      <c r="I70" s="11" t="inlineStr">
        <is>
          <t>P2</t>
        </is>
      </c>
      <c r="J70" s="11" t="inlineStr">
        <is>
          <t>Phân quyền</t>
        </is>
      </c>
      <c r="K70" s="11" t="inlineStr"/>
      <c r="L70" s="11" t="inlineStr">
        <is>
          <t>Chưa chạy</t>
        </is>
      </c>
      <c r="M70" s="11" t="inlineStr"/>
      <c r="N70" s="11" t="inlineStr"/>
      <c r="O70" s="11" t="inlineStr"/>
      <c r="P70" s="11" t="inlineStr"/>
    </row>
    <row r="71">
      <c r="A71" s="11" t="inlineStr">
        <is>
          <t>TC-EMP11-013</t>
        </is>
      </c>
      <c r="B71" s="11" t="inlineStr">
        <is>
          <t>EMP-11</t>
        </is>
      </c>
      <c r="C71" s="11" t="inlineStr">
        <is>
          <t>Nhà tuyển dụng</t>
        </is>
      </c>
      <c r="D71" s="11" t="inlineStr">
        <is>
          <t>Đổi vai trò thành viên</t>
        </is>
      </c>
      <c r="E71" s="11" t="inlineStr">
        <is>
          <t>ntd1 Chủ; ntd3 Thành viên</t>
        </is>
      </c>
      <c r="F71" s="11" t="inlineStr">
        <is>
          <t>–</t>
        </is>
      </c>
      <c r="G71" s="11" t="inlineStr">
        <is>
          <t>1. Đổi ntd3 thành Chủ
2. ntd3 tải lại trang Hồ sơ công ty</t>
        </is>
      </c>
      <c r="H71" s="11" t="inlineStr">
        <is>
          <t>ntd3 sửa được hồ sơ công ty</t>
        </is>
      </c>
      <c r="I71" s="11" t="inlineStr">
        <is>
          <t>P2</t>
        </is>
      </c>
      <c r="J71" s="11" t="inlineStr">
        <is>
          <t>Chức năng</t>
        </is>
      </c>
      <c r="K71" s="11" t="inlineStr"/>
      <c r="L71" s="11" t="inlineStr">
        <is>
          <t>Chưa chạy</t>
        </is>
      </c>
      <c r="M71" s="11" t="inlineStr"/>
      <c r="N71" s="11" t="inlineStr"/>
      <c r="O71" s="11" t="inlineStr"/>
      <c r="P71" s="11" t="inlineStr"/>
    </row>
    <row r="72">
      <c r="A72" s="11" t="inlineStr">
        <is>
          <t>TC-EMP11-014</t>
        </is>
      </c>
      <c r="B72" s="11" t="inlineStr">
        <is>
          <t>EMP-11</t>
        </is>
      </c>
      <c r="C72" s="11" t="inlineStr">
        <is>
          <t>Nhà tuyển dụng</t>
        </is>
      </c>
      <c r="D72" s="11" t="inlineStr">
        <is>
          <t>Không hạ / xóa Chủ cuối cùng</t>
        </is>
      </c>
      <c r="E72" s="11" t="inlineStr">
        <is>
          <t>Công ty chỉ có 1 Chủ (ntd1)</t>
        </is>
      </c>
      <c r="F72" s="11" t="inlineStr">
        <is>
          <t>–</t>
        </is>
      </c>
      <c r="G72" s="11" t="inlineStr">
        <is>
          <t>1. ntd1 đổi chính mình thành Thành viên
2. ntd1 bấm Rời công ty</t>
        </is>
      </c>
      <c r="H72" s="11" t="inlineStr">
        <is>
          <t>Đổi vai trò: "Công ty cần ít nhất 1 quản trị viên…"; rời công ty (khi là thành viên duy nhất): "Bạn là thành viên duy nhất của công ty, không thể rời"</t>
        </is>
      </c>
      <c r="I72" s="11" t="inlineStr">
        <is>
          <t>P2</t>
        </is>
      </c>
      <c r="J72" s="11" t="inlineStr">
        <is>
          <t>Trạng thái</t>
        </is>
      </c>
      <c r="K72" s="11" t="inlineStr"/>
      <c r="L72" s="11" t="inlineStr">
        <is>
          <t>Chưa chạy</t>
        </is>
      </c>
      <c r="M72" s="11" t="inlineStr"/>
      <c r="N72" s="11" t="inlineStr"/>
      <c r="O72" s="11" t="inlineStr"/>
      <c r="P72" s="11" t="inlineStr"/>
    </row>
    <row r="73">
      <c r="A73" s="11" t="inlineStr">
        <is>
          <t>TC-EMP11-015</t>
        </is>
      </c>
      <c r="B73" s="11" t="inlineStr">
        <is>
          <t>EMP-11</t>
        </is>
      </c>
      <c r="C73" s="11" t="inlineStr">
        <is>
          <t>Nhà tuyển dụng</t>
        </is>
      </c>
      <c r="D73" s="11" t="inlineStr">
        <is>
          <t>Xóa thành viên</t>
        </is>
      </c>
      <c r="E73" s="11" t="inlineStr">
        <is>
          <t>ntd3 là Thành viên</t>
        </is>
      </c>
      <c r="F73" s="11" t="inlineStr">
        <is>
          <t>–</t>
        </is>
      </c>
      <c r="G73" s="11" t="inlineStr">
        <is>
          <t>1. ntd1 xóa ntd3
2. ntd3 tải lại /employer</t>
        </is>
      </c>
      <c r="H73" s="11" t="inlineStr">
        <is>
          <t>ntd3 không còn thuộc công ty, không thấy tin/đơn của công ty</t>
        </is>
      </c>
      <c r="I73" s="11" t="inlineStr">
        <is>
          <t>P2</t>
        </is>
      </c>
      <c r="J73" s="11" t="inlineStr">
        <is>
          <t>Chức năng</t>
        </is>
      </c>
      <c r="K73" s="11" t="inlineStr"/>
      <c r="L73" s="11" t="inlineStr">
        <is>
          <t>Chưa chạy</t>
        </is>
      </c>
      <c r="M73" s="11" t="inlineStr"/>
      <c r="N73" s="11" t="inlineStr"/>
      <c r="O73" s="11" t="inlineStr"/>
      <c r="P73" s="11" t="inlineStr"/>
    </row>
    <row r="74">
      <c r="A74" s="11" t="inlineStr">
        <is>
          <t>TC-EMP11-016</t>
        </is>
      </c>
      <c r="B74" s="11" t="inlineStr">
        <is>
          <t>EMP-11</t>
        </is>
      </c>
      <c r="C74" s="11" t="inlineStr">
        <is>
          <t>Nhà tuyển dụng</t>
        </is>
      </c>
      <c r="D74" s="11" t="inlineStr">
        <is>
          <t>Thành viên tự rời công ty</t>
        </is>
      </c>
      <c r="E74" s="11" t="inlineStr">
        <is>
          <t>ntd3 là Thành viên</t>
        </is>
      </c>
      <c r="F74" s="11" t="inlineStr">
        <is>
          <t>–</t>
        </is>
      </c>
      <c r="G74" s="11" t="inlineStr">
        <is>
          <t>1. ntd3 bấm Rời công ty → xác nhận</t>
        </is>
      </c>
      <c r="H74" s="11" t="inlineStr">
        <is>
          <t>ntd3 rời thành công, quay về trạng thái chưa có công ty</t>
        </is>
      </c>
      <c r="I74" s="11" t="inlineStr">
        <is>
          <t>P2</t>
        </is>
      </c>
      <c r="J74" s="11" t="inlineStr">
        <is>
          <t>Chức năng</t>
        </is>
      </c>
      <c r="K74" s="11" t="inlineStr"/>
      <c r="L74" s="11" t="inlineStr">
        <is>
          <t>Chưa chạy</t>
        </is>
      </c>
      <c r="M74" s="11" t="inlineStr"/>
      <c r="N74" s="11" t="inlineStr"/>
      <c r="O74" s="11" t="inlineStr"/>
      <c r="P74" s="11" t="inlineStr"/>
    </row>
    <row r="75">
      <c r="A75" s="11" t="inlineStr">
        <is>
          <t>TC-EMP11-017</t>
        </is>
      </c>
      <c r="B75" s="11" t="inlineStr">
        <is>
          <t>EMP-11</t>
        </is>
      </c>
      <c r="C75" s="11" t="inlineStr">
        <is>
          <t>Nhà tuyển dụng</t>
        </is>
      </c>
      <c r="D75" s="11" t="inlineStr">
        <is>
          <t>Giới hạn 20 lời mời / giờ</t>
        </is>
      </c>
      <c r="E75" s="11" t="inlineStr">
        <is>
          <t>ntd1 đăng nhập</t>
        </is>
      </c>
      <c r="F75" s="11" t="inlineStr">
        <is>
          <t>21 email</t>
        </is>
      </c>
      <c r="G75" s="11" t="inlineStr">
        <is>
          <t>1. Gửi 21 lời mời trong 1 giờ</t>
        </is>
      </c>
      <c r="H75" s="11" t="inlineStr">
        <is>
          <t>Lần 21 bị 429</t>
        </is>
      </c>
      <c r="I75" s="11" t="inlineStr">
        <is>
          <t>P2</t>
        </is>
      </c>
      <c r="J75" s="11" t="inlineStr">
        <is>
          <t>Bảo mật</t>
        </is>
      </c>
      <c r="K75" s="11" t="inlineStr"/>
      <c r="L75" s="11" t="inlineStr">
        <is>
          <t>Chưa chạy</t>
        </is>
      </c>
      <c r="M75" s="11" t="inlineStr"/>
      <c r="N75" s="11" t="inlineStr"/>
      <c r="O75" s="11" t="inlineStr"/>
      <c r="P75" s="11" t="inlineStr"/>
    </row>
  </sheetData>
  <autoFilter ref="A1:P75"/>
  <conditionalFormatting sqref="L2:L7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"Skip"</formula>
    </cfRule>
  </conditionalFormatting>
  <dataValidations count="1">
    <dataValidation sqref="L2:L75" showDropDown="0" showInputMessage="0" showErrorMessage="0" allowBlank="1" type="list">
      <formula1>"Chưa chạy,Pass,Fail,Blocked,Skip"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38" customWidth="1" min="4" max="4"/>
    <col width="32" customWidth="1" min="5" max="5"/>
    <col width="32" customWidth="1" min="6" max="6"/>
    <col width="48" customWidth="1" min="7" max="7"/>
    <col width="52" customWidth="1" min="8" max="8"/>
    <col width="8" customWidth="1" min="9" max="9"/>
    <col width="12" customWidth="1" min="10" max="10"/>
    <col width="30" customWidth="1" min="11" max="11"/>
    <col width="12" customWidth="1" min="12" max="12"/>
    <col width="12" customWidth="1" min="13" max="13"/>
    <col width="12" customWidth="1" min="14" max="14"/>
    <col width="10" customWidth="1" min="15" max="15"/>
    <col width="20" customWidth="1" min="16" max="16"/>
  </cols>
  <sheetData>
    <row r="1">
      <c r="A1" s="10" t="inlineStr">
        <is>
          <t>Mã TC</t>
        </is>
      </c>
      <c r="B1" s="10" t="inlineStr">
        <is>
          <t>Mã yêu cầu</t>
        </is>
      </c>
      <c r="C1" s="10" t="inlineStr">
        <is>
          <t>Module</t>
        </is>
      </c>
      <c r="D1" s="10" t="inlineStr">
        <is>
          <t>Tiêu đề</t>
        </is>
      </c>
      <c r="E1" s="10" t="inlineStr">
        <is>
          <t>Tiền điều kiện</t>
        </is>
      </c>
      <c r="F1" s="10" t="inlineStr">
        <is>
          <t>Dữ liệu test</t>
        </is>
      </c>
      <c r="G1" s="10" t="inlineStr">
        <is>
          <t>Các bước</t>
        </is>
      </c>
      <c r="H1" s="10" t="inlineStr">
        <is>
          <t>Kết quả mong đợi</t>
        </is>
      </c>
      <c r="I1" s="10" t="inlineStr">
        <is>
          <t>Ưu tiên</t>
        </is>
      </c>
      <c r="J1" s="10" t="inlineStr">
        <is>
          <t>Loại</t>
        </is>
      </c>
      <c r="K1" s="10" t="inlineStr">
        <is>
          <t>Kết quả thực tế</t>
        </is>
      </c>
      <c r="L1" s="10" t="inlineStr">
        <is>
          <t>Trạng thái</t>
        </is>
      </c>
      <c r="M1" s="10" t="inlineStr">
        <is>
          <t>Người test</t>
        </is>
      </c>
      <c r="N1" s="10" t="inlineStr">
        <is>
          <t>Ngày test</t>
        </is>
      </c>
      <c r="O1" s="10" t="inlineStr">
        <is>
          <t>Mã bug</t>
        </is>
      </c>
      <c r="P1" s="10" t="inlineStr">
        <is>
          <t>Ghi chú</t>
        </is>
      </c>
    </row>
    <row r="2">
      <c r="A2" s="11" t="inlineStr">
        <is>
          <t>TC-ADM01-001</t>
        </is>
      </c>
      <c r="B2" s="11" t="inlineStr">
        <is>
          <t>ADM-01</t>
        </is>
      </c>
      <c r="C2" s="11" t="inlineStr">
        <is>
          <t>Admin</t>
        </is>
      </c>
      <c r="D2" s="11" t="inlineStr">
        <is>
          <t>Trang tổng quan admin</t>
        </is>
      </c>
      <c r="E2" s="11" t="inlineStr">
        <is>
          <t>admin đăng nhập</t>
        </is>
      </c>
      <c r="F2" s="11" t="inlineStr">
        <is>
          <t>–</t>
        </is>
      </c>
      <c r="G2" s="11" t="inlineStr">
        <is>
          <t>1. Mở /admin</t>
        </is>
      </c>
      <c r="H2" s="11" t="inlineStr">
        <is>
          <t>Số người dùng theo vai trò, công ty, tin, đơn khớp dữ liệu; mục "việc cần xử lý" có số tin chờ duyệt, công ty chờ xác minh, báo cáo mở</t>
        </is>
      </c>
      <c r="I2" s="11" t="inlineStr">
        <is>
          <t>P0</t>
        </is>
      </c>
      <c r="J2" s="11" t="inlineStr">
        <is>
          <t>Chức năng</t>
        </is>
      </c>
      <c r="K2" s="11" t="inlineStr"/>
      <c r="L2" s="11" t="inlineStr">
        <is>
          <t>Chưa chạy</t>
        </is>
      </c>
      <c r="M2" s="11" t="inlineStr"/>
      <c r="N2" s="11" t="inlineStr"/>
      <c r="O2" s="11" t="inlineStr"/>
      <c r="P2" s="11" t="inlineStr"/>
    </row>
    <row r="3">
      <c r="A3" s="11" t="inlineStr">
        <is>
          <t>TC-ADM01-002</t>
        </is>
      </c>
      <c r="B3" s="11" t="inlineStr">
        <is>
          <t>ADM-01</t>
        </is>
      </c>
      <c r="C3" s="11" t="inlineStr">
        <is>
          <t>Admin</t>
        </is>
      </c>
      <c r="D3" s="11" t="inlineStr">
        <is>
          <t>Số việc cần xử lý trên menu cập nhật</t>
        </is>
      </c>
      <c r="E3" s="11" t="inlineStr">
        <is>
          <t>Ghi lại số tin chờ duyệt</t>
        </is>
      </c>
      <c r="F3" s="11" t="inlineStr">
        <is>
          <t>–</t>
        </is>
      </c>
      <c r="G3" s="11" t="inlineStr">
        <is>
          <t>1. NTD gửi duyệt 1 tin
2. Admin tải lại trang</t>
        </is>
      </c>
      <c r="H3" s="11" t="inlineStr">
        <is>
          <t>Số trên menu và tổng quan +1; duyệt xong thì −1</t>
        </is>
      </c>
      <c r="I3" s="11" t="inlineStr">
        <is>
          <t>P1</t>
        </is>
      </c>
      <c r="J3" s="11" t="inlineStr">
        <is>
          <t>Chức năng</t>
        </is>
      </c>
      <c r="K3" s="11" t="inlineStr"/>
      <c r="L3" s="11" t="inlineStr">
        <is>
          <t>Chưa chạy</t>
        </is>
      </c>
      <c r="M3" s="11" t="inlineStr"/>
      <c r="N3" s="11" t="inlineStr"/>
      <c r="O3" s="11" t="inlineStr"/>
      <c r="P3" s="11" t="inlineStr"/>
    </row>
    <row r="4">
      <c r="A4" s="11" t="inlineStr">
        <is>
          <t>TC-ADM01-003</t>
        </is>
      </c>
      <c r="B4" s="11" t="inlineStr">
        <is>
          <t>ADM-01</t>
        </is>
      </c>
      <c r="C4" s="11" t="inlineStr">
        <is>
          <t>Admin</t>
        </is>
      </c>
      <c r="D4" s="11" t="inlineStr">
        <is>
          <t>Ứng viên / NTD không vào được /admin</t>
        </is>
      </c>
      <c r="E4" s="11" t="inlineStr">
        <is>
          <t>uv1, ntd1</t>
        </is>
      </c>
      <c r="F4" s="11" t="inlineStr">
        <is>
          <t>–</t>
        </is>
      </c>
      <c r="G4" s="11" t="inlineStr">
        <is>
          <t>1. Mở /admin; gọi API /api/admin/... bằng token uv1, ntd1</t>
        </is>
      </c>
      <c r="H4" s="11" t="inlineStr">
        <is>
          <t>Bị chặn; API trả 403</t>
        </is>
      </c>
      <c r="I4" s="11" t="inlineStr">
        <is>
          <t>P0</t>
        </is>
      </c>
      <c r="J4" s="11" t="inlineStr">
        <is>
          <t>Phân quyền</t>
        </is>
      </c>
      <c r="K4" s="11" t="inlineStr"/>
      <c r="L4" s="11" t="inlineStr">
        <is>
          <t>Chưa chạy</t>
        </is>
      </c>
      <c r="M4" s="11" t="inlineStr"/>
      <c r="N4" s="11" t="inlineStr"/>
      <c r="O4" s="11" t="inlineStr"/>
      <c r="P4" s="11" t="inlineStr"/>
    </row>
    <row r="5">
      <c r="A5" s="11" t="inlineStr">
        <is>
          <t>TC-ADM02-001</t>
        </is>
      </c>
      <c r="B5" s="11" t="inlineStr">
        <is>
          <t>ADM-02</t>
        </is>
      </c>
      <c r="C5" s="11" t="inlineStr">
        <is>
          <t>Admin</t>
        </is>
      </c>
      <c r="D5" s="11" t="inlineStr">
        <is>
          <t>Biểu đồ tăng trưởng theo ngày / tháng</t>
        </is>
      </c>
      <c r="E5" s="11" t="inlineStr">
        <is>
          <t>admin đăng nhập</t>
        </is>
      </c>
      <c r="F5" s="11" t="inlineStr">
        <is>
          <t>–</t>
        </is>
      </c>
      <c r="G5" s="11" t="inlineStr">
        <is>
          <t>1. Xem biểu đồ người dùng/tin/đơn
2. Chuyển 30 ngày ↔ 12 tháng</t>
        </is>
      </c>
      <c r="H5" s="11" t="inlineStr">
        <is>
          <t>Biểu đồ đổi đúng khoảng; có bảng số liệu thay thế</t>
        </is>
      </c>
      <c r="I5" s="11" t="inlineStr">
        <is>
          <t>P1</t>
        </is>
      </c>
      <c r="J5" s="11" t="inlineStr">
        <is>
          <t>Chức năng</t>
        </is>
      </c>
      <c r="K5" s="11" t="inlineStr"/>
      <c r="L5" s="11" t="inlineStr">
        <is>
          <t>Chưa chạy</t>
        </is>
      </c>
      <c r="M5" s="11" t="inlineStr"/>
      <c r="N5" s="11" t="inlineStr"/>
      <c r="O5" s="11" t="inlineStr"/>
      <c r="P5" s="11" t="inlineStr"/>
    </row>
    <row r="6">
      <c r="A6" s="11" t="inlineStr">
        <is>
          <t>TC-ADM03-001</t>
        </is>
      </c>
      <c r="B6" s="11" t="inlineStr">
        <is>
          <t>ADM-03</t>
        </is>
      </c>
      <c r="C6" s="11" t="inlineStr">
        <is>
          <t>Admin</t>
        </is>
      </c>
      <c r="D6" s="11" t="inlineStr">
        <is>
          <t>Duyệt tin</t>
        </is>
      </c>
      <c r="E6" s="11" t="inlineStr">
        <is>
          <t>Có tin PENDING của ntd1</t>
        </is>
      </c>
      <c r="F6" s="11" t="inlineStr">
        <is>
          <t>–</t>
        </is>
      </c>
      <c r="G6" s="11" t="inlineStr">
        <is>
          <t>1. Mở /admin/jobs
2. Mở tin
3. Bấm Duyệt</t>
        </is>
      </c>
      <c r="H6" s="11" t="inlineStr">
        <is>
          <t>Tin → Đang hiển thị, xuất hiện công khai; ntd1 nhận thông báo; nhật ký ghi lại</t>
        </is>
      </c>
      <c r="I6" s="11" t="inlineStr">
        <is>
          <t>P0</t>
        </is>
      </c>
      <c r="J6" s="11" t="inlineStr">
        <is>
          <t>Chức năng</t>
        </is>
      </c>
      <c r="K6" s="11" t="inlineStr"/>
      <c r="L6" s="11" t="inlineStr">
        <is>
          <t>Chưa chạy</t>
        </is>
      </c>
      <c r="M6" s="11" t="inlineStr"/>
      <c r="N6" s="11" t="inlineStr"/>
      <c r="O6" s="11" t="inlineStr"/>
      <c r="P6" s="11" t="inlineStr"/>
    </row>
    <row r="7">
      <c r="A7" s="11" t="inlineStr">
        <is>
          <t>TC-ADM03-002</t>
        </is>
      </c>
      <c r="B7" s="11" t="inlineStr">
        <is>
          <t>ADM-03</t>
        </is>
      </c>
      <c r="C7" s="11" t="inlineStr">
        <is>
          <t>Admin</t>
        </is>
      </c>
      <c r="D7" s="11" t="inlineStr">
        <is>
          <t>Từ chối tin có lý do</t>
        </is>
      </c>
      <c r="E7" s="11" t="inlineStr">
        <is>
          <t>Có tin PENDING</t>
        </is>
      </c>
      <c r="F7" s="11" t="inlineStr">
        <is>
          <t>Lý do mẫu + ghi thêm</t>
        </is>
      </c>
      <c r="G7" s="11" t="inlineStr">
        <is>
          <t>1. Bấm Từ chối
2. Chọn lý do mẫu
3. Xác nhận</t>
        </is>
      </c>
      <c r="H7" s="11" t="inlineStr">
        <is>
          <t>Tin → Bị từ chối; NTD thấy lý do và nhận thông báo</t>
        </is>
      </c>
      <c r="I7" s="11" t="inlineStr">
        <is>
          <t>P0</t>
        </is>
      </c>
      <c r="J7" s="11" t="inlineStr">
        <is>
          <t>Chức năng</t>
        </is>
      </c>
      <c r="K7" s="11" t="inlineStr"/>
      <c r="L7" s="11" t="inlineStr">
        <is>
          <t>Chưa chạy</t>
        </is>
      </c>
      <c r="M7" s="11" t="inlineStr"/>
      <c r="N7" s="11" t="inlineStr"/>
      <c r="O7" s="11" t="inlineStr"/>
      <c r="P7" s="11" t="inlineStr"/>
    </row>
    <row r="8">
      <c r="A8" s="11" t="inlineStr">
        <is>
          <t>TC-ADM03-003</t>
        </is>
      </c>
      <c r="B8" s="11" t="inlineStr">
        <is>
          <t>ADM-03</t>
        </is>
      </c>
      <c r="C8" s="11" t="inlineStr">
        <is>
          <t>Admin</t>
        </is>
      </c>
      <c r="D8" s="11" t="inlineStr">
        <is>
          <t>Từ chối không nhập lý do</t>
        </is>
      </c>
      <c r="E8" s="11" t="inlineStr">
        <is>
          <t>Có tin PENDING</t>
        </is>
      </c>
      <c r="F8" s="11" t="inlineStr">
        <is>
          <t>Lý do trống</t>
        </is>
      </c>
      <c r="G8" s="11" t="inlineStr">
        <is>
          <t>1. Bấm Từ chối, bỏ trống lý do</t>
        </is>
      </c>
      <c r="H8" s="11" t="inlineStr">
        <is>
          <t>Không cho xác nhận / báo lỗi bắt buộc lý do</t>
        </is>
      </c>
      <c r="I8" s="11" t="inlineStr">
        <is>
          <t>P0</t>
        </is>
      </c>
      <c r="J8" s="11" t="inlineStr">
        <is>
          <t>Validate</t>
        </is>
      </c>
      <c r="K8" s="11" t="inlineStr"/>
      <c r="L8" s="11" t="inlineStr">
        <is>
          <t>Chưa chạy</t>
        </is>
      </c>
      <c r="M8" s="11" t="inlineStr"/>
      <c r="N8" s="11" t="inlineStr"/>
      <c r="O8" s="11" t="inlineStr"/>
      <c r="P8" s="11" t="inlineStr"/>
    </row>
    <row r="9">
      <c r="A9" s="11" t="inlineStr">
        <is>
          <t>TC-ADM03-004</t>
        </is>
      </c>
      <c r="B9" s="11" t="inlineStr">
        <is>
          <t>ADM-03</t>
        </is>
      </c>
      <c r="C9" s="11" t="inlineStr">
        <is>
          <t>Admin</t>
        </is>
      </c>
      <c r="D9" s="11" t="inlineStr">
        <is>
          <t>Gỡ tin đang hiển thị vi phạm</t>
        </is>
      </c>
      <c r="E9" s="11" t="inlineStr">
        <is>
          <t>Có tin APPROVED</t>
        </is>
      </c>
      <c r="F9" s="11" t="inlineStr">
        <is>
          <t>Lý do: Nội dung lừa đảo</t>
        </is>
      </c>
      <c r="G9" s="11" t="inlineStr">
        <is>
          <t>1. Bấm Gỡ tin
2. Nhập lý do</t>
        </is>
      </c>
      <c r="H9" s="11" t="inlineStr">
        <is>
          <t>Tin → Bị từ chối, không còn công khai; NTD nhận thông báo</t>
        </is>
      </c>
      <c r="I9" s="11" t="inlineStr">
        <is>
          <t>P0</t>
        </is>
      </c>
      <c r="J9" s="11" t="inlineStr">
        <is>
          <t>Chức năng</t>
        </is>
      </c>
      <c r="K9" s="11" t="inlineStr"/>
      <c r="L9" s="11" t="inlineStr">
        <is>
          <t>Chưa chạy</t>
        </is>
      </c>
      <c r="M9" s="11" t="inlineStr"/>
      <c r="N9" s="11" t="inlineStr"/>
      <c r="O9" s="11" t="inlineStr"/>
      <c r="P9" s="11" t="inlineStr"/>
    </row>
    <row r="10">
      <c r="A10" s="11" t="inlineStr">
        <is>
          <t>TC-ADM03-005</t>
        </is>
      </c>
      <c r="B10" s="11" t="inlineStr">
        <is>
          <t>ADM-03</t>
        </is>
      </c>
      <c r="C10" s="11" t="inlineStr">
        <is>
          <t>Admin</t>
        </is>
      </c>
      <c r="D10" s="11" t="inlineStr">
        <is>
          <t>Duyệt / từ chối tin không ở trạng thái chờ duyệt</t>
        </is>
      </c>
      <c r="E10" s="11" t="inlineStr">
        <is>
          <t>Tin X đã được duyệt (admin khác vừa duyệt)</t>
        </is>
      </c>
      <c r="F10" s="11" t="inlineStr">
        <is>
          <t>–</t>
        </is>
      </c>
      <c r="G10" s="11" t="inlineStr">
        <is>
          <t>1. Mở trang cũ, bấm Duyệt hoặc Từ chối lại</t>
        </is>
      </c>
      <c r="H10" s="11" t="inlineStr">
        <is>
          <t>Báo "Chỉ duyệt được tin đang chờ duyệt" / "Chỉ từ chối được tin đang chờ duyệt"</t>
        </is>
      </c>
      <c r="I10" s="11" t="inlineStr">
        <is>
          <t>P1</t>
        </is>
      </c>
      <c r="J10" s="11" t="inlineStr">
        <is>
          <t>Trạng thái</t>
        </is>
      </c>
      <c r="K10" s="11" t="inlineStr"/>
      <c r="L10" s="11" t="inlineStr">
        <is>
          <t>Chưa chạy</t>
        </is>
      </c>
      <c r="M10" s="11" t="inlineStr"/>
      <c r="N10" s="11" t="inlineStr"/>
      <c r="O10" s="11" t="inlineStr"/>
      <c r="P10" s="11" t="inlineStr"/>
    </row>
    <row r="11">
      <c r="A11" s="11" t="inlineStr">
        <is>
          <t>TC-ADM03-006</t>
        </is>
      </c>
      <c r="B11" s="11" t="inlineStr">
        <is>
          <t>ADM-03</t>
        </is>
      </c>
      <c r="C11" s="11" t="inlineStr">
        <is>
          <t>Admin</t>
        </is>
      </c>
      <c r="D11" s="11" t="inlineStr">
        <is>
          <t>Lọc / tìm tin cần duyệt</t>
        </is>
      </c>
      <c r="E11" s="11" t="inlineStr">
        <is>
          <t>Có nhiều tin</t>
        </is>
      </c>
      <c r="F11" s="11" t="inlineStr">
        <is>
          <t>–</t>
        </is>
      </c>
      <c r="G11" s="11" t="inlineStr">
        <is>
          <t>1. Lọc theo trạng thái, tìm theo tên công ty/chức danh</t>
        </is>
      </c>
      <c r="H11" s="11" t="inlineStr">
        <is>
          <t>Kết quả đúng bộ lọc</t>
        </is>
      </c>
      <c r="I11" s="11" t="inlineStr">
        <is>
          <t>P1</t>
        </is>
      </c>
      <c r="J11" s="11" t="inlineStr">
        <is>
          <t>Chức năng</t>
        </is>
      </c>
      <c r="K11" s="11" t="inlineStr"/>
      <c r="L11" s="11" t="inlineStr">
        <is>
          <t>Chưa chạy</t>
        </is>
      </c>
      <c r="M11" s="11" t="inlineStr"/>
      <c r="N11" s="11" t="inlineStr"/>
      <c r="O11" s="11" t="inlineStr"/>
      <c r="P11" s="11" t="inlineStr"/>
    </row>
    <row r="12">
      <c r="A12" s="11" t="inlineStr">
        <is>
          <t>TC-ADM04-001</t>
        </is>
      </c>
      <c r="B12" s="11" t="inlineStr">
        <is>
          <t>ADM-04</t>
        </is>
      </c>
      <c r="C12" s="11" t="inlineStr">
        <is>
          <t>Admin</t>
        </is>
      </c>
      <c r="D12" s="11" t="inlineStr">
        <is>
          <t>Xác minh công ty</t>
        </is>
      </c>
      <c r="E12" s="11" t="inlineStr">
        <is>
          <t>Công ty ntd2 PENDING</t>
        </is>
      </c>
      <c r="F12" s="11" t="inlineStr">
        <is>
          <t>–</t>
        </is>
      </c>
      <c r="G12" s="11" t="inlineStr">
        <is>
          <t>1. Mở /admin/companies
2. Xem giấy phép
3. Bấm Xác minh</t>
        </is>
      </c>
      <c r="H12" s="11" t="inlineStr">
        <is>
          <t>Công ty → Đã xác minh, có dấu ✔ trên tin và trang công ty; NTD nhận thông báo</t>
        </is>
      </c>
      <c r="I12" s="11" t="inlineStr">
        <is>
          <t>P0</t>
        </is>
      </c>
      <c r="J12" s="11" t="inlineStr">
        <is>
          <t>Chức năng</t>
        </is>
      </c>
      <c r="K12" s="11" t="inlineStr"/>
      <c r="L12" s="11" t="inlineStr">
        <is>
          <t>Chưa chạy</t>
        </is>
      </c>
      <c r="M12" s="11" t="inlineStr"/>
      <c r="N12" s="11" t="inlineStr"/>
      <c r="O12" s="11" t="inlineStr"/>
      <c r="P12" s="11" t="inlineStr"/>
    </row>
    <row r="13">
      <c r="A13" s="11" t="inlineStr">
        <is>
          <t>TC-ADM04-002</t>
        </is>
      </c>
      <c r="B13" s="11" t="inlineStr">
        <is>
          <t>ADM-04</t>
        </is>
      </c>
      <c r="C13" s="11" t="inlineStr">
        <is>
          <t>Admin</t>
        </is>
      </c>
      <c r="D13" s="11" t="inlineStr">
        <is>
          <t>Từ chối xác minh có lý do</t>
        </is>
      </c>
      <c r="E13" s="11" t="inlineStr">
        <is>
          <t>Công ty PENDING</t>
        </is>
      </c>
      <c r="F13" s="11" t="inlineStr">
        <is>
          <t>Lý do: Giấy phép mờ</t>
        </is>
      </c>
      <c r="G13" s="11" t="inlineStr">
        <is>
          <t>1. Bấm Từ chối
2. Nhập lý do</t>
        </is>
      </c>
      <c r="H13" s="11" t="inlineStr">
        <is>
          <t>Công ty → Bị từ chối; NTD thấy lý do, gửi lại được</t>
        </is>
      </c>
      <c r="I13" s="11" t="inlineStr">
        <is>
          <t>P0</t>
        </is>
      </c>
      <c r="J13" s="11" t="inlineStr">
        <is>
          <t>Chức năng</t>
        </is>
      </c>
      <c r="K13" s="11" t="inlineStr"/>
      <c r="L13" s="11" t="inlineStr">
        <is>
          <t>Chưa chạy</t>
        </is>
      </c>
      <c r="M13" s="11" t="inlineStr"/>
      <c r="N13" s="11" t="inlineStr"/>
      <c r="O13" s="11" t="inlineStr"/>
      <c r="P13" s="11" t="inlineStr"/>
    </row>
    <row r="14">
      <c r="A14" s="11" t="inlineStr">
        <is>
          <t>TC-ADM04-003</t>
        </is>
      </c>
      <c r="B14" s="11" t="inlineStr">
        <is>
          <t>ADM-04</t>
        </is>
      </c>
      <c r="C14" s="11" t="inlineStr">
        <is>
          <t>Admin</t>
        </is>
      </c>
      <c r="D14" s="11" t="inlineStr">
        <is>
          <t>Thu hồi xác minh</t>
        </is>
      </c>
      <c r="E14" s="11" t="inlineStr">
        <is>
          <t>Công ty VERIFIED</t>
        </is>
      </c>
      <c r="F14" s="11" t="inlineStr">
        <is>
          <t>Lý do</t>
        </is>
      </c>
      <c r="G14" s="11" t="inlineStr">
        <is>
          <t>1. Bấm Thu hồi xác minh</t>
        </is>
      </c>
      <c r="H14" s="11" t="inlineStr">
        <is>
          <t>Mất dấu ✔; NTD nhận thông báo</t>
        </is>
      </c>
      <c r="I14" s="11" t="inlineStr">
        <is>
          <t>P1</t>
        </is>
      </c>
      <c r="J14" s="11" t="inlineStr">
        <is>
          <t>Chức năng</t>
        </is>
      </c>
      <c r="K14" s="11" t="inlineStr"/>
      <c r="L14" s="11" t="inlineStr">
        <is>
          <t>Chưa chạy</t>
        </is>
      </c>
      <c r="M14" s="11" t="inlineStr"/>
      <c r="N14" s="11" t="inlineStr"/>
      <c r="O14" s="11" t="inlineStr"/>
      <c r="P14" s="11" t="inlineStr"/>
    </row>
    <row r="15">
      <c r="A15" s="11" t="inlineStr">
        <is>
          <t>TC-ADM04-004</t>
        </is>
      </c>
      <c r="B15" s="11" t="inlineStr">
        <is>
          <t>ADM-04</t>
        </is>
      </c>
      <c r="C15" s="11" t="inlineStr">
        <is>
          <t>Admin</t>
        </is>
      </c>
      <c r="D15" s="11" t="inlineStr">
        <is>
          <t>Xác minh công ty chưa gửi giấy phép</t>
        </is>
      </c>
      <c r="E15" s="11" t="inlineStr">
        <is>
          <t>Công ty UNVERIFIED</t>
        </is>
      </c>
      <c r="F15" s="11" t="inlineStr">
        <is>
          <t>–</t>
        </is>
      </c>
      <c r="G15" s="11" t="inlineStr">
        <is>
          <t>1. Gọi API xác minh công ty đó</t>
        </is>
      </c>
      <c r="H15" s="11" t="inlineStr">
        <is>
          <t>Báo "Công ty chưa gửi giấy phép" hoặc "Công ty không ở trạng thái chờ xác minh"</t>
        </is>
      </c>
      <c r="I15" s="11" t="inlineStr">
        <is>
          <t>P1</t>
        </is>
      </c>
      <c r="J15" s="11" t="inlineStr">
        <is>
          <t>Trạng thái</t>
        </is>
      </c>
      <c r="K15" s="11" t="inlineStr"/>
      <c r="L15" s="11" t="inlineStr">
        <is>
          <t>Chưa chạy</t>
        </is>
      </c>
      <c r="M15" s="11" t="inlineStr"/>
      <c r="N15" s="11" t="inlineStr"/>
      <c r="O15" s="11" t="inlineStr"/>
      <c r="P15" s="11" t="inlineStr"/>
    </row>
    <row r="16">
      <c r="A16" s="11" t="inlineStr">
        <is>
          <t>TC-ADM05-001</t>
        </is>
      </c>
      <c r="B16" s="11" t="inlineStr">
        <is>
          <t>ADM-05</t>
        </is>
      </c>
      <c r="C16" s="11" t="inlineStr">
        <is>
          <t>Admin</t>
        </is>
      </c>
      <c r="D16" s="11" t="inlineStr">
        <is>
          <t>Đóng báo cáo không vi phạm</t>
        </is>
      </c>
      <c r="E16" s="11" t="inlineStr">
        <is>
          <t>Có báo cáo mở về tin X</t>
        </is>
      </c>
      <c r="F16" s="11" t="inlineStr">
        <is>
          <t>–</t>
        </is>
      </c>
      <c r="G16" s="11" t="inlineStr">
        <is>
          <t>1. Mở /admin/reports
2. Chọn Bỏ qua / Chỉ đóng</t>
        </is>
      </c>
      <c r="H16" s="11" t="inlineStr">
        <is>
          <t>Báo cáo → Đã xử lý; tin X không đổi</t>
        </is>
      </c>
      <c r="I16" s="11" t="inlineStr">
        <is>
          <t>P0</t>
        </is>
      </c>
      <c r="J16" s="11" t="inlineStr">
        <is>
          <t>Chức năng</t>
        </is>
      </c>
      <c r="K16" s="11" t="inlineStr"/>
      <c r="L16" s="11" t="inlineStr">
        <is>
          <t>Chưa chạy</t>
        </is>
      </c>
      <c r="M16" s="11" t="inlineStr"/>
      <c r="N16" s="11" t="inlineStr"/>
      <c r="O16" s="11" t="inlineStr"/>
      <c r="P16" s="11" t="inlineStr"/>
    </row>
    <row r="17">
      <c r="A17" s="11" t="inlineStr">
        <is>
          <t>TC-ADM05-002</t>
        </is>
      </c>
      <c r="B17" s="11" t="inlineStr">
        <is>
          <t>ADM-05</t>
        </is>
      </c>
      <c r="C17" s="11" t="inlineStr">
        <is>
          <t>Admin</t>
        </is>
      </c>
      <c r="D17" s="11" t="inlineStr">
        <is>
          <t>Gỡ tin từ báo cáo</t>
        </is>
      </c>
      <c r="E17" s="11" t="inlineStr">
        <is>
          <t>Có báo cáo mở về tin X</t>
        </is>
      </c>
      <c r="F17" s="11" t="inlineStr">
        <is>
          <t>–</t>
        </is>
      </c>
      <c r="G17" s="11" t="inlineStr">
        <is>
          <t>1. Chọn Gỡ tin
2. Xác nhận</t>
        </is>
      </c>
      <c r="H17" s="11" t="inlineStr">
        <is>
          <t>Tin X bị gỡ; báo cáo đóng; NTD nhận thông báo</t>
        </is>
      </c>
      <c r="I17" s="11" t="inlineStr">
        <is>
          <t>P0</t>
        </is>
      </c>
      <c r="J17" s="11" t="inlineStr">
        <is>
          <t>Chức năng</t>
        </is>
      </c>
      <c r="K17" s="11" t="inlineStr"/>
      <c r="L17" s="11" t="inlineStr">
        <is>
          <t>Chưa chạy</t>
        </is>
      </c>
      <c r="M17" s="11" t="inlineStr"/>
      <c r="N17" s="11" t="inlineStr"/>
      <c r="O17" s="11" t="inlineStr"/>
      <c r="P17" s="11" t="inlineStr"/>
    </row>
    <row r="18">
      <c r="A18" s="11" t="inlineStr">
        <is>
          <t>TC-ADM05-003</t>
        </is>
      </c>
      <c r="B18" s="11" t="inlineStr">
        <is>
          <t>ADM-05</t>
        </is>
      </c>
      <c r="C18" s="11" t="inlineStr">
        <is>
          <t>Admin</t>
        </is>
      </c>
      <c r="D18" s="11" t="inlineStr">
        <is>
          <t>Cảnh cáo NTD</t>
        </is>
      </c>
      <c r="E18" s="11" t="inlineStr">
        <is>
          <t>Có báo cáo mở</t>
        </is>
      </c>
      <c r="F18" s="11" t="inlineStr">
        <is>
          <t>Nội dung cảnh cáo</t>
        </is>
      </c>
      <c r="G18" s="11" t="inlineStr">
        <is>
          <t>1. Chọn Cảnh cáo NTD</t>
        </is>
      </c>
      <c r="H18" s="11" t="inlineStr">
        <is>
          <t>NTD nhận thông báo cảnh cáo; báo cáo đóng</t>
        </is>
      </c>
      <c r="I18" s="11" t="inlineStr">
        <is>
          <t>P1</t>
        </is>
      </c>
      <c r="J18" s="11" t="inlineStr">
        <is>
          <t>Chức năng</t>
        </is>
      </c>
      <c r="K18" s="11" t="inlineStr"/>
      <c r="L18" s="11" t="inlineStr">
        <is>
          <t>Chưa chạy</t>
        </is>
      </c>
      <c r="M18" s="11" t="inlineStr"/>
      <c r="N18" s="11" t="inlineStr"/>
      <c r="O18" s="11" t="inlineStr"/>
      <c r="P18" s="11" t="inlineStr"/>
    </row>
    <row r="19">
      <c r="A19" s="11" t="inlineStr">
        <is>
          <t>TC-ADM05-004</t>
        </is>
      </c>
      <c r="B19" s="11" t="inlineStr">
        <is>
          <t>ADM-05</t>
        </is>
      </c>
      <c r="C19" s="11" t="inlineStr">
        <is>
          <t>Admin</t>
        </is>
      </c>
      <c r="D19" s="11" t="inlineStr">
        <is>
          <t>Khóa tài khoản NTD từ báo cáo</t>
        </is>
      </c>
      <c r="E19" s="11" t="inlineStr">
        <is>
          <t>Có báo cáo mở về tin của ntd2</t>
        </is>
      </c>
      <c r="F19" s="11" t="inlineStr">
        <is>
          <t>Lý do</t>
        </is>
      </c>
      <c r="G19" s="11" t="inlineStr">
        <is>
          <t>1. Chọn Khóa tài khoản NTD</t>
        </is>
      </c>
      <c r="H19" s="11" t="inlineStr">
        <is>
          <t>ntd2 bị khóa, bị chặn ở request kế tiếp; báo cáo đóng</t>
        </is>
      </c>
      <c r="I19" s="11" t="inlineStr">
        <is>
          <t>P0</t>
        </is>
      </c>
      <c r="J19" s="11" t="inlineStr">
        <is>
          <t>Chức năng</t>
        </is>
      </c>
      <c r="K19" s="11" t="inlineStr"/>
      <c r="L19" s="11" t="inlineStr">
        <is>
          <t>Chưa chạy</t>
        </is>
      </c>
      <c r="M19" s="11" t="inlineStr"/>
      <c r="N19" s="11" t="inlineStr"/>
      <c r="O19" s="11" t="inlineStr"/>
      <c r="P19" s="11" t="inlineStr"/>
    </row>
    <row r="20">
      <c r="A20" s="11" t="inlineStr">
        <is>
          <t>TC-ADM05-005</t>
        </is>
      </c>
      <c r="B20" s="11" t="inlineStr">
        <is>
          <t>ADM-05</t>
        </is>
      </c>
      <c r="C20" s="11" t="inlineStr">
        <is>
          <t>Admin</t>
        </is>
      </c>
      <c r="D20" s="11" t="inlineStr">
        <is>
          <t>Đóng đồng thời các báo cáo cùng đối tượng</t>
        </is>
      </c>
      <c r="E20" s="11" t="inlineStr">
        <is>
          <t>Tin X có 3 báo cáo mở từ 3 ứng viên</t>
        </is>
      </c>
      <c r="F20" s="11" t="inlineStr">
        <is>
          <t>–</t>
        </is>
      </c>
      <c r="G20" s="11" t="inlineStr">
        <is>
          <t>1. Xử lý 1 báo cáo về tin X</t>
        </is>
      </c>
      <c r="H20" s="11" t="inlineStr">
        <is>
          <t>Cả 3 báo cáo → Đã xử lý</t>
        </is>
      </c>
      <c r="I20" s="11" t="inlineStr">
        <is>
          <t>P1</t>
        </is>
      </c>
      <c r="J20" s="11" t="inlineStr">
        <is>
          <t>Chức năng</t>
        </is>
      </c>
      <c r="K20" s="11" t="inlineStr"/>
      <c r="L20" s="11" t="inlineStr">
        <is>
          <t>Chưa chạy</t>
        </is>
      </c>
      <c r="M20" s="11" t="inlineStr"/>
      <c r="N20" s="11" t="inlineStr"/>
      <c r="O20" s="11" t="inlineStr"/>
      <c r="P20" s="11" t="inlineStr"/>
    </row>
    <row r="21">
      <c r="A21" s="11" t="inlineStr">
        <is>
          <t>TC-ADM05-006</t>
        </is>
      </c>
      <c r="B21" s="11" t="inlineStr">
        <is>
          <t>ADM-05</t>
        </is>
      </c>
      <c r="C21" s="11" t="inlineStr">
        <is>
          <t>Admin</t>
        </is>
      </c>
      <c r="D21" s="11" t="inlineStr">
        <is>
          <t>Xử lý báo cáo đã xử lý</t>
        </is>
      </c>
      <c r="E21" s="11" t="inlineStr">
        <is>
          <t>Báo cáo đã đóng</t>
        </is>
      </c>
      <c r="F21" s="11" t="inlineStr">
        <is>
          <t>–</t>
        </is>
      </c>
      <c r="G21" s="11" t="inlineStr">
        <is>
          <t>1. Gọi lại API xử lý</t>
        </is>
      </c>
      <c r="H21" s="11" t="inlineStr">
        <is>
          <t>Báo "Báo cáo đã được xử lý"</t>
        </is>
      </c>
      <c r="I21" s="11" t="inlineStr">
        <is>
          <t>P2</t>
        </is>
      </c>
      <c r="J21" s="11" t="inlineStr">
        <is>
          <t>Trạng thái</t>
        </is>
      </c>
      <c r="K21" s="11" t="inlineStr"/>
      <c r="L21" s="11" t="inlineStr">
        <is>
          <t>Chưa chạy</t>
        </is>
      </c>
      <c r="M21" s="11" t="inlineStr"/>
      <c r="N21" s="11" t="inlineStr"/>
      <c r="O21" s="11" t="inlineStr"/>
      <c r="P21" s="11" t="inlineStr"/>
    </row>
    <row r="22">
      <c r="A22" s="11" t="inlineStr">
        <is>
          <t>TC-ADM05-007</t>
        </is>
      </c>
      <c r="B22" s="11" t="inlineStr">
        <is>
          <t>ADM-05</t>
        </is>
      </c>
      <c r="C22" s="11" t="inlineStr">
        <is>
          <t>Admin</t>
        </is>
      </c>
      <c r="D22" s="11" t="inlineStr">
        <is>
          <t>Gỡ tin khi báo cáo là về công ty</t>
        </is>
      </c>
      <c r="E22" s="11" t="inlineStr">
        <is>
          <t>Báo cáo về công ty</t>
        </is>
      </c>
      <c r="F22" s="11" t="inlineStr">
        <is>
          <t>–</t>
        </is>
      </c>
      <c r="G22" s="11" t="inlineStr">
        <is>
          <t>1. Chọn hành động gỡ tin</t>
        </is>
      </c>
      <c r="H22" s="11" t="inlineStr">
        <is>
          <t>Báo "Chỉ ẩn được khi báo cáo là tin tuyển dụng"</t>
        </is>
      </c>
      <c r="I22" s="11" t="inlineStr">
        <is>
          <t>P2</t>
        </is>
      </c>
      <c r="J22" s="11" t="inlineStr">
        <is>
          <t>Validate</t>
        </is>
      </c>
      <c r="K22" s="11" t="inlineStr"/>
      <c r="L22" s="11" t="inlineStr">
        <is>
          <t>Chưa chạy</t>
        </is>
      </c>
      <c r="M22" s="11" t="inlineStr"/>
      <c r="N22" s="11" t="inlineStr"/>
      <c r="O22" s="11" t="inlineStr"/>
      <c r="P22" s="11" t="inlineStr"/>
    </row>
    <row r="23">
      <c r="A23" s="11" t="inlineStr">
        <is>
          <t>TC-ADM06-001</t>
        </is>
      </c>
      <c r="B23" s="11" t="inlineStr">
        <is>
          <t>ADM-06</t>
        </is>
      </c>
      <c r="C23" s="11" t="inlineStr">
        <is>
          <t>Admin</t>
        </is>
      </c>
      <c r="D23" s="11" t="inlineStr">
        <is>
          <t>Tìm và lọc người dùng</t>
        </is>
      </c>
      <c r="E23" s="11" t="inlineStr">
        <is>
          <t>admin đăng nhập</t>
        </is>
      </c>
      <c r="F23" s="11" t="inlineStr">
        <is>
          <t>Từ khóa: demo; vai trò NTD; trạng thái khóa</t>
        </is>
      </c>
      <c r="G23" s="11" t="inlineStr">
        <is>
          <t>1. Mở /admin/users
2. Tìm, lọc</t>
        </is>
      </c>
      <c r="H23" s="11" t="inlineStr">
        <is>
          <t>Kết quả đúng</t>
        </is>
      </c>
      <c r="I23" s="11" t="inlineStr">
        <is>
          <t>P0</t>
        </is>
      </c>
      <c r="J23" s="11" t="inlineStr">
        <is>
          <t>Chức năng</t>
        </is>
      </c>
      <c r="K23" s="11" t="inlineStr"/>
      <c r="L23" s="11" t="inlineStr">
        <is>
          <t>Chưa chạy</t>
        </is>
      </c>
      <c r="M23" s="11" t="inlineStr"/>
      <c r="N23" s="11" t="inlineStr"/>
      <c r="O23" s="11" t="inlineStr"/>
      <c r="P23" s="11" t="inlineStr"/>
    </row>
    <row r="24">
      <c r="A24" s="11" t="inlineStr">
        <is>
          <t>TC-ADM06-002</t>
        </is>
      </c>
      <c r="B24" s="11" t="inlineStr">
        <is>
          <t>ADM-06</t>
        </is>
      </c>
      <c r="C24" s="11" t="inlineStr">
        <is>
          <t>Admin</t>
        </is>
      </c>
      <c r="D24" s="11" t="inlineStr">
        <is>
          <t>Xem chi tiết người dùng</t>
        </is>
      </c>
      <c r="E24" s="11" t="inlineStr">
        <is>
          <t>admin đăng nhập</t>
        </is>
      </c>
      <c r="F24" s="11" t="inlineStr">
        <is>
          <t>uv1</t>
        </is>
      </c>
      <c r="G24" s="11" t="inlineStr">
        <is>
          <t>1. Mở chi tiết uv1</t>
        </is>
      </c>
      <c r="H24" s="11" t="inlineStr">
        <is>
          <t>Hiện thông tin tài khoản, vai trò, trạng thái, ngày tạo</t>
        </is>
      </c>
      <c r="I24" s="11" t="inlineStr">
        <is>
          <t>P0</t>
        </is>
      </c>
      <c r="J24" s="11" t="inlineStr">
        <is>
          <t>Chức năng</t>
        </is>
      </c>
      <c r="K24" s="11" t="inlineStr"/>
      <c r="L24" s="11" t="inlineStr">
        <is>
          <t>Chưa chạy</t>
        </is>
      </c>
      <c r="M24" s="11" t="inlineStr"/>
      <c r="N24" s="11" t="inlineStr"/>
      <c r="O24" s="11" t="inlineStr"/>
      <c r="P24" s="11" t="inlineStr"/>
    </row>
    <row r="25">
      <c r="A25" s="11" t="inlineStr">
        <is>
          <t>TC-ADM06-003</t>
        </is>
      </c>
      <c r="B25" s="11" t="inlineStr">
        <is>
          <t>ADM-06</t>
        </is>
      </c>
      <c r="C25" s="11" t="inlineStr">
        <is>
          <t>Admin</t>
        </is>
      </c>
      <c r="D25" s="11" t="inlineStr">
        <is>
          <t>Khóa tài khoản có lý do</t>
        </is>
      </c>
      <c r="E25" s="11" t="inlineStr">
        <is>
          <t>uv2 đang hoạt động</t>
        </is>
      </c>
      <c r="F25" s="11" t="inlineStr">
        <is>
          <t>Lý do: QA test</t>
        </is>
      </c>
      <c r="G25" s="11" t="inlineStr">
        <is>
          <t>1. Bấm Khóa
2. Nhập lý do
3. Xác nhận</t>
        </is>
      </c>
      <c r="H25" s="11" t="inlineStr">
        <is>
          <t>uv2 → Bị khóa; nhật ký ghi lại</t>
        </is>
      </c>
      <c r="I25" s="11" t="inlineStr">
        <is>
          <t>P0</t>
        </is>
      </c>
      <c r="J25" s="11" t="inlineStr">
        <is>
          <t>Chức năng</t>
        </is>
      </c>
      <c r="K25" s="11" t="inlineStr"/>
      <c r="L25" s="11" t="inlineStr">
        <is>
          <t>Chưa chạy</t>
        </is>
      </c>
      <c r="M25" s="11" t="inlineStr"/>
      <c r="N25" s="11" t="inlineStr"/>
      <c r="O25" s="11" t="inlineStr"/>
      <c r="P25" s="11" t="inlineStr"/>
    </row>
    <row r="26">
      <c r="A26" s="11" t="inlineStr">
        <is>
          <t>TC-ADM06-004</t>
        </is>
      </c>
      <c r="B26" s="11" t="inlineStr">
        <is>
          <t>ADM-06</t>
        </is>
      </c>
      <c r="C26" s="11" t="inlineStr">
        <is>
          <t>Admin</t>
        </is>
      </c>
      <c r="D26" s="11" t="inlineStr">
        <is>
          <t>Khóa không nhập lý do</t>
        </is>
      </c>
      <c r="E26" s="11" t="inlineStr">
        <is>
          <t>uv2 đang hoạt động</t>
        </is>
      </c>
      <c r="F26" s="11" t="inlineStr">
        <is>
          <t>Lý do trống</t>
        </is>
      </c>
      <c r="G26" s="11" t="inlineStr">
        <is>
          <t>1. Bấm Khóa, bỏ trống lý do</t>
        </is>
      </c>
      <c r="H26" s="11" t="inlineStr">
        <is>
          <t>Không cho xác nhận / báo lỗi</t>
        </is>
      </c>
      <c r="I26" s="11" t="inlineStr">
        <is>
          <t>P0</t>
        </is>
      </c>
      <c r="J26" s="11" t="inlineStr">
        <is>
          <t>Validate</t>
        </is>
      </c>
      <c r="K26" s="11" t="inlineStr"/>
      <c r="L26" s="11" t="inlineStr">
        <is>
          <t>Chưa chạy</t>
        </is>
      </c>
      <c r="M26" s="11" t="inlineStr"/>
      <c r="N26" s="11" t="inlineStr"/>
      <c r="O26" s="11" t="inlineStr"/>
      <c r="P26" s="11" t="inlineStr"/>
    </row>
    <row r="27">
      <c r="A27" s="11" t="inlineStr">
        <is>
          <t>TC-ADM06-005</t>
        </is>
      </c>
      <c r="B27" s="11" t="inlineStr">
        <is>
          <t>ADM-06</t>
        </is>
      </c>
      <c r="C27" s="11" t="inlineStr">
        <is>
          <t>Admin</t>
        </is>
      </c>
      <c r="D27" s="11" t="inlineStr">
        <is>
          <t>Mở khóa tài khoản</t>
        </is>
      </c>
      <c r="E27" s="11" t="inlineStr">
        <is>
          <t>uv2 bị khóa</t>
        </is>
      </c>
      <c r="F27" s="11" t="inlineStr">
        <is>
          <t>–</t>
        </is>
      </c>
      <c r="G27" s="11" t="inlineStr">
        <is>
          <t>1. Bấm Mở khóa</t>
        </is>
      </c>
      <c r="H27" s="11" t="inlineStr">
        <is>
          <t>uv2 → Hoạt động</t>
        </is>
      </c>
      <c r="I27" s="11" t="inlineStr">
        <is>
          <t>P0</t>
        </is>
      </c>
      <c r="J27" s="11" t="inlineStr">
        <is>
          <t>Chức năng</t>
        </is>
      </c>
      <c r="K27" s="11" t="inlineStr"/>
      <c r="L27" s="11" t="inlineStr">
        <is>
          <t>Chưa chạy</t>
        </is>
      </c>
      <c r="M27" s="11" t="inlineStr"/>
      <c r="N27" s="11" t="inlineStr"/>
      <c r="O27" s="11" t="inlineStr"/>
      <c r="P27" s="11" t="inlineStr"/>
    </row>
    <row r="28">
      <c r="A28" s="11" t="inlineStr">
        <is>
          <t>TC-ADM06-006</t>
        </is>
      </c>
      <c r="B28" s="11" t="inlineStr">
        <is>
          <t>ADM-06</t>
        </is>
      </c>
      <c r="C28" s="11" t="inlineStr">
        <is>
          <t>Admin</t>
        </is>
      </c>
      <c r="D28" s="11" t="inlineStr">
        <is>
          <t>Khóa tài khoản đã khóa / mở khóa tài khoản đang hoạt động</t>
        </is>
      </c>
      <c r="E28" s="11" t="inlineStr">
        <is>
          <t>–</t>
        </is>
      </c>
      <c r="F28" s="11" t="inlineStr">
        <is>
          <t>–</t>
        </is>
      </c>
      <c r="G28" s="11" t="inlineStr">
        <is>
          <t>1. Gọi API khóa lại uv2 đang khóa; mở khóa uv1 đang hoạt động</t>
        </is>
      </c>
      <c r="H28" s="11" t="inlineStr">
        <is>
          <t>Báo "Tài khoản đã bị khóa" / "Tài khoản không bị khóa"</t>
        </is>
      </c>
      <c r="I28" s="11" t="inlineStr">
        <is>
          <t>P2</t>
        </is>
      </c>
      <c r="J28" s="11" t="inlineStr">
        <is>
          <t>Trạng thái</t>
        </is>
      </c>
      <c r="K28" s="11" t="inlineStr"/>
      <c r="L28" s="11" t="inlineStr">
        <is>
          <t>Chưa chạy</t>
        </is>
      </c>
      <c r="M28" s="11" t="inlineStr"/>
      <c r="N28" s="11" t="inlineStr"/>
      <c r="O28" s="11" t="inlineStr"/>
      <c r="P28" s="11" t="inlineStr"/>
    </row>
    <row r="29">
      <c r="A29" s="11" t="inlineStr">
        <is>
          <t>TC-ADM07-001</t>
        </is>
      </c>
      <c r="B29" s="11" t="inlineStr">
        <is>
          <t>ADM-07</t>
        </is>
      </c>
      <c r="C29" s="11" t="inlineStr">
        <is>
          <t>Admin</t>
        </is>
      </c>
      <c r="D29" s="11" t="inlineStr">
        <is>
          <t>Super admin tạo admin mới</t>
        </is>
      </c>
      <c r="E29" s="11" t="inlineStr">
        <is>
          <t>admin@jobportal.local (super admin)</t>
        </is>
      </c>
      <c r="F29" s="11" t="inlineStr">
        <is>
          <t>Email: qa.admin@test.local; MK: Qa123456</t>
        </is>
      </c>
      <c r="G29" s="11" t="inlineStr">
        <is>
          <t>1. Tạo tài khoản admin
2. Đăng nhập tài khoản mới</t>
        </is>
      </c>
      <c r="H29" s="11" t="inlineStr">
        <is>
          <t>Đăng nhập được, vào /admin</t>
        </is>
      </c>
      <c r="I29" s="11" t="inlineStr">
        <is>
          <t>P1</t>
        </is>
      </c>
      <c r="J29" s="11" t="inlineStr">
        <is>
          <t>Chức năng</t>
        </is>
      </c>
      <c r="K29" s="11" t="inlineStr"/>
      <c r="L29" s="11" t="inlineStr">
        <is>
          <t>Chưa chạy</t>
        </is>
      </c>
      <c r="M29" s="11" t="inlineStr"/>
      <c r="N29" s="11" t="inlineStr"/>
      <c r="O29" s="11" t="inlineStr"/>
      <c r="P29" s="11" t="inlineStr"/>
    </row>
    <row r="30">
      <c r="A30" s="11" t="inlineStr">
        <is>
          <t>TC-ADM07-002</t>
        </is>
      </c>
      <c r="B30" s="11" t="inlineStr">
        <is>
          <t>ADM-07</t>
        </is>
      </c>
      <c r="C30" s="11" t="inlineStr">
        <is>
          <t>Admin</t>
        </is>
      </c>
      <c r="D30" s="11" t="inlineStr">
        <is>
          <t>Admin thường không tạo được admin</t>
        </is>
      </c>
      <c r="E30" s="11" t="inlineStr">
        <is>
          <t>qa.admin đăng nhập</t>
        </is>
      </c>
      <c r="F30" s="11" t="inlineStr">
        <is>
          <t>–</t>
        </is>
      </c>
      <c r="G30" s="11" t="inlineStr">
        <is>
          <t>1. Tìm chức năng tạo admin; gọi API tạo admin</t>
        </is>
      </c>
      <c r="H30" s="11" t="inlineStr">
        <is>
          <t>Không có nút; API báo "Chỉ super admin mới thực hiện được thao tác này"</t>
        </is>
      </c>
      <c r="I30" s="11" t="inlineStr">
        <is>
          <t>P1</t>
        </is>
      </c>
      <c r="J30" s="11" t="inlineStr">
        <is>
          <t>Phân quyền</t>
        </is>
      </c>
      <c r="K30" s="11" t="inlineStr"/>
      <c r="L30" s="11" t="inlineStr">
        <is>
          <t>Chưa chạy</t>
        </is>
      </c>
      <c r="M30" s="11" t="inlineStr"/>
      <c r="N30" s="11" t="inlineStr"/>
      <c r="O30" s="11" t="inlineStr"/>
      <c r="P30" s="11" t="inlineStr"/>
    </row>
    <row r="31">
      <c r="A31" s="11" t="inlineStr">
        <is>
          <t>TC-ADM07-003</t>
        </is>
      </c>
      <c r="B31" s="11" t="inlineStr">
        <is>
          <t>ADM-07</t>
        </is>
      </c>
      <c r="C31" s="11" t="inlineStr">
        <is>
          <t>Admin</t>
        </is>
      </c>
      <c r="D31" s="11" t="inlineStr">
        <is>
          <t>Tạo admin trùng email</t>
        </is>
      </c>
      <c r="E31" s="11" t="inlineStr">
        <is>
          <t>super admin</t>
        </is>
      </c>
      <c r="F31" s="11" t="inlineStr">
        <is>
          <t>Email: uv1@demo.local</t>
        </is>
      </c>
      <c r="G31" s="11" t="inlineStr">
        <is>
          <t>1. Tạo admin với email đã có</t>
        </is>
      </c>
      <c r="H31" s="11" t="inlineStr">
        <is>
          <t>Báo "Email đã được sử dụng"</t>
        </is>
      </c>
      <c r="I31" s="11" t="inlineStr">
        <is>
          <t>P1</t>
        </is>
      </c>
      <c r="J31" s="11" t="inlineStr">
        <is>
          <t>Validate</t>
        </is>
      </c>
      <c r="K31" s="11" t="inlineStr"/>
      <c r="L31" s="11" t="inlineStr">
        <is>
          <t>Chưa chạy</t>
        </is>
      </c>
      <c r="M31" s="11" t="inlineStr"/>
      <c r="N31" s="11" t="inlineStr"/>
      <c r="O31" s="11" t="inlineStr"/>
      <c r="P31" s="11" t="inlineStr"/>
    </row>
    <row r="32">
      <c r="A32" s="11" t="inlineStr">
        <is>
          <t>TC-ADM07-004</t>
        </is>
      </c>
      <c r="B32" s="11" t="inlineStr">
        <is>
          <t>ADM-07</t>
        </is>
      </c>
      <c r="C32" s="11" t="inlineStr">
        <is>
          <t>Admin</t>
        </is>
      </c>
      <c r="D32" s="11" t="inlineStr">
        <is>
          <t>Không tự khóa chính mình</t>
        </is>
      </c>
      <c r="E32" s="11" t="inlineStr">
        <is>
          <t>admin đăng nhập</t>
        </is>
      </c>
      <c r="F32" s="11" t="inlineStr">
        <is>
          <t>–</t>
        </is>
      </c>
      <c r="G32" s="11" t="inlineStr">
        <is>
          <t>1. Khóa tài khoản của chính mình</t>
        </is>
      </c>
      <c r="H32" s="11" t="inlineStr">
        <is>
          <t>Báo "Bạn không thể tự khóa / mở khóa tài khoản của mình"</t>
        </is>
      </c>
      <c r="I32" s="11" t="inlineStr">
        <is>
          <t>P0</t>
        </is>
      </c>
      <c r="J32" s="11" t="inlineStr">
        <is>
          <t>Phân quyền</t>
        </is>
      </c>
      <c r="K32" s="11" t="inlineStr"/>
      <c r="L32" s="11" t="inlineStr">
        <is>
          <t>Chưa chạy</t>
        </is>
      </c>
      <c r="M32" s="11" t="inlineStr"/>
      <c r="N32" s="11" t="inlineStr"/>
      <c r="O32" s="11" t="inlineStr"/>
      <c r="P32" s="11" t="inlineStr"/>
    </row>
    <row r="33">
      <c r="A33" s="11" t="inlineStr">
        <is>
          <t>TC-ADM07-005</t>
        </is>
      </c>
      <c r="B33" s="11" t="inlineStr">
        <is>
          <t>ADM-07</t>
        </is>
      </c>
      <c r="C33" s="11" t="inlineStr">
        <is>
          <t>Admin</t>
        </is>
      </c>
      <c r="D33" s="11" t="inlineStr">
        <is>
          <t>Không khóa được super admin</t>
        </is>
      </c>
      <c r="E33" s="11" t="inlineStr">
        <is>
          <t>qa.admin đăng nhập</t>
        </is>
      </c>
      <c r="F33" s="11" t="inlineStr">
        <is>
          <t>–</t>
        </is>
      </c>
      <c r="G33" s="11" t="inlineStr">
        <is>
          <t>1. Khóa admin@jobportal.local</t>
        </is>
      </c>
      <c r="H33" s="11" t="inlineStr">
        <is>
          <t>Báo "Không thể thao tác với tài khoản super admin"</t>
        </is>
      </c>
      <c r="I33" s="11" t="inlineStr">
        <is>
          <t>P0</t>
        </is>
      </c>
      <c r="J33" s="11" t="inlineStr">
        <is>
          <t>Phân quyền</t>
        </is>
      </c>
      <c r="K33" s="11" t="inlineStr"/>
      <c r="L33" s="11" t="inlineStr">
        <is>
          <t>Chưa chạy</t>
        </is>
      </c>
      <c r="M33" s="11" t="inlineStr"/>
      <c r="N33" s="11" t="inlineStr"/>
      <c r="O33" s="11" t="inlineStr"/>
      <c r="P33" s="11" t="inlineStr"/>
    </row>
    <row r="34">
      <c r="A34" s="11" t="inlineStr">
        <is>
          <t>TC-ADM08-001</t>
        </is>
      </c>
      <c r="B34" s="11" t="inlineStr">
        <is>
          <t>ADM-08</t>
        </is>
      </c>
      <c r="C34" s="11" t="inlineStr">
        <is>
          <t>Admin</t>
        </is>
      </c>
      <c r="D34" s="11" t="inlineStr">
        <is>
          <t>Thêm / sửa ngành nghề</t>
        </is>
      </c>
      <c r="E34" s="11" t="inlineStr">
        <is>
          <t>admin đăng nhập</t>
        </is>
      </c>
      <c r="F34" s="11" t="inlineStr">
        <is>
          <t>Ngành: QA Kiểm thử</t>
        </is>
      </c>
      <c r="G34" s="11" t="inlineStr">
        <is>
          <t>1. Mở /admin/catalog
2. Thêm ngành
3. Sửa tên</t>
        </is>
      </c>
      <c r="H34" s="11" t="inlineStr">
        <is>
          <t>Ngành xuất hiện trong bộ lọc tìm việc và form đăng tin</t>
        </is>
      </c>
      <c r="I34" s="11" t="inlineStr">
        <is>
          <t>P1</t>
        </is>
      </c>
      <c r="J34" s="11" t="inlineStr">
        <is>
          <t>Chức năng</t>
        </is>
      </c>
      <c r="K34" s="11" t="inlineStr"/>
      <c r="L34" s="11" t="inlineStr">
        <is>
          <t>Chưa chạy</t>
        </is>
      </c>
      <c r="M34" s="11" t="inlineStr"/>
      <c r="N34" s="11" t="inlineStr"/>
      <c r="O34" s="11" t="inlineStr"/>
      <c r="P34" s="11" t="inlineStr"/>
    </row>
    <row r="35">
      <c r="A35" s="11" t="inlineStr">
        <is>
          <t>TC-ADM08-002</t>
        </is>
      </c>
      <c r="B35" s="11" t="inlineStr">
        <is>
          <t>ADM-08</t>
        </is>
      </c>
      <c r="C35" s="11" t="inlineStr">
        <is>
          <t>Admin</t>
        </is>
      </c>
      <c r="D35" s="11" t="inlineStr">
        <is>
          <t>Thêm mục trùng tên</t>
        </is>
      </c>
      <c r="E35" s="11" t="inlineStr">
        <is>
          <t>Đã có ngành "QA Kiểm thử"</t>
        </is>
      </c>
      <c r="F35" s="11" t="inlineStr">
        <is>
          <t>Tên trùng</t>
        </is>
      </c>
      <c r="G35" s="11" t="inlineStr">
        <is>
          <t>1. Thêm ngành trùng tên</t>
        </is>
      </c>
      <c r="H35" s="11" t="inlineStr">
        <is>
          <t>Báo "Ngành nghề "QA Kiểm thử" đã tồn tại"</t>
        </is>
      </c>
      <c r="I35" s="11" t="inlineStr">
        <is>
          <t>P1</t>
        </is>
      </c>
      <c r="J35" s="11" t="inlineStr">
        <is>
          <t>Validate</t>
        </is>
      </c>
      <c r="K35" s="11" t="inlineStr"/>
      <c r="L35" s="11" t="inlineStr">
        <is>
          <t>Chưa chạy</t>
        </is>
      </c>
      <c r="M35" s="11" t="inlineStr"/>
      <c r="N35" s="11" t="inlineStr"/>
      <c r="O35" s="11" t="inlineStr"/>
      <c r="P35" s="11" t="inlineStr"/>
    </row>
    <row r="36">
      <c r="A36" s="11" t="inlineStr">
        <is>
          <t>TC-ADM08-003</t>
        </is>
      </c>
      <c r="B36" s="11" t="inlineStr">
        <is>
          <t>ADM-08</t>
        </is>
      </c>
      <c r="C36" s="11" t="inlineStr">
        <is>
          <t>Admin</t>
        </is>
      </c>
      <c r="D36" s="11" t="inlineStr">
        <is>
          <t>Ẩn ngành nghề</t>
        </is>
      </c>
      <c r="E36" s="11" t="inlineStr">
        <is>
          <t>Ngành QA đang hiện</t>
        </is>
      </c>
      <c r="F36" s="11" t="inlineStr">
        <is>
          <t>–</t>
        </is>
      </c>
      <c r="G36" s="11" t="inlineStr">
        <is>
          <t>1. Bấm Ẩn
2. Mở form đăng tin và bộ lọc</t>
        </is>
      </c>
      <c r="H36" s="11" t="inlineStr">
        <is>
          <t>Ngành bị ẩn không còn để chọn</t>
        </is>
      </c>
      <c r="I36" s="11" t="inlineStr">
        <is>
          <t>P1</t>
        </is>
      </c>
      <c r="J36" s="11" t="inlineStr">
        <is>
          <t>Chức năng</t>
        </is>
      </c>
      <c r="K36" s="11" t="inlineStr"/>
      <c r="L36" s="11" t="inlineStr">
        <is>
          <t>Chưa chạy</t>
        </is>
      </c>
      <c r="M36" s="11" t="inlineStr"/>
      <c r="N36" s="11" t="inlineStr"/>
      <c r="O36" s="11" t="inlineStr"/>
      <c r="P36" s="11" t="inlineStr"/>
    </row>
    <row r="37">
      <c r="A37" s="11" t="inlineStr">
        <is>
          <t>TC-ADM08-004</t>
        </is>
      </c>
      <c r="B37" s="11" t="inlineStr">
        <is>
          <t>ADM-08</t>
        </is>
      </c>
      <c r="C37" s="11" t="inlineStr">
        <is>
          <t>Admin</t>
        </is>
      </c>
      <c r="D37" s="11" t="inlineStr">
        <is>
          <t>Không xóa mục đang được dùng</t>
        </is>
      </c>
      <c r="E37" s="11" t="inlineStr">
        <is>
          <t>Ngành CNTT có tin đang dùng</t>
        </is>
      </c>
      <c r="F37" s="11" t="inlineStr">
        <is>
          <t>–</t>
        </is>
      </c>
      <c r="G37" s="11" t="inlineStr">
        <is>
          <t>1. Bấm Xóa ngành CNTT</t>
        </is>
      </c>
      <c r="H37" s="11" t="inlineStr">
        <is>
          <t>Bị chặn, báo đang được sử dụng</t>
        </is>
      </c>
      <c r="I37" s="11" t="inlineStr">
        <is>
          <t>P1</t>
        </is>
      </c>
      <c r="J37" s="11" t="inlineStr">
        <is>
          <t>Validate</t>
        </is>
      </c>
      <c r="K37" s="11" t="inlineStr"/>
      <c r="L37" s="11" t="inlineStr">
        <is>
          <t>Chưa chạy</t>
        </is>
      </c>
      <c r="M37" s="11" t="inlineStr"/>
      <c r="N37" s="11" t="inlineStr"/>
      <c r="O37" s="11" t="inlineStr"/>
      <c r="P37" s="11" t="inlineStr"/>
    </row>
    <row r="38">
      <c r="A38" s="11" t="inlineStr">
        <is>
          <t>TC-ADM08-005</t>
        </is>
      </c>
      <c r="B38" s="11" t="inlineStr">
        <is>
          <t>ADM-08</t>
        </is>
      </c>
      <c r="C38" s="11" t="inlineStr">
        <is>
          <t>Admin</t>
        </is>
      </c>
      <c r="D38" s="11" t="inlineStr">
        <is>
          <t>Thêm / xóa kỹ năng và tỉnh/thành chưa dùng</t>
        </is>
      </c>
      <c r="E38" s="11" t="inlineStr">
        <is>
          <t>admin đăng nhập</t>
        </is>
      </c>
      <c r="F38" s="11" t="inlineStr">
        <is>
          <t>Kỹ năng: QA-Skill</t>
        </is>
      </c>
      <c r="G38" s="11" t="inlineStr">
        <is>
          <t>1. Thêm kỹ năng
2. Xóa kỹ năng đó</t>
        </is>
      </c>
      <c r="H38" s="11" t="inlineStr">
        <is>
          <t>Thành công</t>
        </is>
      </c>
      <c r="I38" s="11" t="inlineStr">
        <is>
          <t>P2</t>
        </is>
      </c>
      <c r="J38" s="11" t="inlineStr">
        <is>
          <t>Chức năng</t>
        </is>
      </c>
      <c r="K38" s="11" t="inlineStr"/>
      <c r="L38" s="11" t="inlineStr">
        <is>
          <t>Chưa chạy</t>
        </is>
      </c>
      <c r="M38" s="11" t="inlineStr"/>
      <c r="N38" s="11" t="inlineStr"/>
      <c r="O38" s="11" t="inlineStr"/>
      <c r="P38" s="11" t="inlineStr"/>
    </row>
    <row r="39">
      <c r="A39" s="11" t="inlineStr">
        <is>
          <t>TC-ADM09-001</t>
        </is>
      </c>
      <c r="B39" s="11" t="inlineStr">
        <is>
          <t>ADM-09</t>
        </is>
      </c>
      <c r="C39" s="11" t="inlineStr">
        <is>
          <t>Admin</t>
        </is>
      </c>
      <c r="D39" s="11" t="inlineStr">
        <is>
          <t>Sửa trang tĩnh</t>
        </is>
      </c>
      <c r="E39" s="11" t="inlineStr">
        <is>
          <t>admin đăng nhập</t>
        </is>
      </c>
      <c r="F39" s="11" t="inlineStr">
        <is>
          <t>Trang Giới thiệu: thêm đoạn "QA"</t>
        </is>
      </c>
      <c r="G39" s="11" t="inlineStr">
        <is>
          <t>1. Mở /admin/content
2. Sửa trang Giới thiệu
3. Lưu
4. Mở /pages/gioi-thieu</t>
        </is>
      </c>
      <c r="H39" s="11" t="inlineStr">
        <is>
          <t>Nội dung mới hiển thị</t>
        </is>
      </c>
      <c r="I39" s="11" t="inlineStr">
        <is>
          <t>P1</t>
        </is>
      </c>
      <c r="J39" s="11" t="inlineStr">
        <is>
          <t>Chức năng</t>
        </is>
      </c>
      <c r="K39" s="11" t="inlineStr"/>
      <c r="L39" s="11" t="inlineStr">
        <is>
          <t>Chưa chạy</t>
        </is>
      </c>
      <c r="M39" s="11" t="inlineStr"/>
      <c r="N39" s="11" t="inlineStr"/>
      <c r="O39" s="11" t="inlineStr"/>
      <c r="P39" s="11" t="inlineStr"/>
    </row>
    <row r="40">
      <c r="A40" s="11" t="inlineStr">
        <is>
          <t>TC-ADM09-002</t>
        </is>
      </c>
      <c r="B40" s="11" t="inlineStr">
        <is>
          <t>ADM-09</t>
        </is>
      </c>
      <c r="C40" s="11" t="inlineStr">
        <is>
          <t>Admin</t>
        </is>
      </c>
      <c r="D40" s="11" t="inlineStr">
        <is>
          <t>Không xóa trang mặc định</t>
        </is>
      </c>
      <c r="E40" s="11" t="inlineStr">
        <is>
          <t>admin đăng nhập</t>
        </is>
      </c>
      <c r="F40" s="11" t="inlineStr">
        <is>
          <t>Trang Điều khoản</t>
        </is>
      </c>
      <c r="G40" s="11" t="inlineStr">
        <is>
          <t>1. Bấm Xóa</t>
        </is>
      </c>
      <c r="H40" s="11" t="inlineStr">
        <is>
          <t>Báo "Không xóa được trang mặc định, bạn có thể ẩn trang"</t>
        </is>
      </c>
      <c r="I40" s="11" t="inlineStr">
        <is>
          <t>P2</t>
        </is>
      </c>
      <c r="J40" s="11" t="inlineStr">
        <is>
          <t>Validate</t>
        </is>
      </c>
      <c r="K40" s="11" t="inlineStr"/>
      <c r="L40" s="11" t="inlineStr">
        <is>
          <t>Chưa chạy</t>
        </is>
      </c>
      <c r="M40" s="11" t="inlineStr"/>
      <c r="N40" s="11" t="inlineStr"/>
      <c r="O40" s="11" t="inlineStr"/>
      <c r="P40" s="11" t="inlineStr"/>
    </row>
    <row r="41">
      <c r="A41" s="11" t="inlineStr">
        <is>
          <t>TC-ADM09-003</t>
        </is>
      </c>
      <c r="B41" s="11" t="inlineStr">
        <is>
          <t>ADM-09</t>
        </is>
      </c>
      <c r="C41" s="11" t="inlineStr">
        <is>
          <t>Admin</t>
        </is>
      </c>
      <c r="D41" s="11" t="inlineStr">
        <is>
          <t>Banner trang chủ và thông báo chung</t>
        </is>
      </c>
      <c r="E41" s="11" t="inlineStr">
        <is>
          <t>admin đăng nhập</t>
        </is>
      </c>
      <c r="F41" s="11" t="inlineStr">
        <is>
          <t>Thông báo: "QA bảo trì 22h"</t>
        </is>
      </c>
      <c r="G41" s="11" t="inlineStr">
        <is>
          <t>1. Nhập banner, thông báo
2. Lưu
3. Mở trang chủ</t>
        </is>
      </c>
      <c r="H41" s="11" t="inlineStr">
        <is>
          <t>Banner và thông báo hiện ở trang chủ</t>
        </is>
      </c>
      <c r="I41" s="11" t="inlineStr">
        <is>
          <t>P1</t>
        </is>
      </c>
      <c r="J41" s="11" t="inlineStr">
        <is>
          <t>Chức năng</t>
        </is>
      </c>
      <c r="K41" s="11" t="inlineStr"/>
      <c r="L41" s="11" t="inlineStr">
        <is>
          <t>Chưa chạy</t>
        </is>
      </c>
      <c r="M41" s="11" t="inlineStr"/>
      <c r="N41" s="11" t="inlineStr"/>
      <c r="O41" s="11" t="inlineStr"/>
      <c r="P41" s="11" t="inlineStr"/>
    </row>
    <row r="42">
      <c r="A42" s="11" t="inlineStr">
        <is>
          <t>TC-ADM09-004</t>
        </is>
      </c>
      <c r="B42" s="11" t="inlineStr">
        <is>
          <t>ADM-09</t>
        </is>
      </c>
      <c r="C42" s="11" t="inlineStr">
        <is>
          <t>Admin</t>
        </is>
      </c>
      <c r="D42" s="11" t="inlineStr">
        <is>
          <t>Thông báo chung vượt giới hạn ký tự</t>
        </is>
      </c>
      <c r="E42" s="11" t="inlineStr">
        <is>
          <t>admin đăng nhập</t>
        </is>
      </c>
      <c r="F42" s="11" t="inlineStr">
        <is>
          <t>Nội dung dài hơn giới hạn (120/200/300)</t>
        </is>
      </c>
      <c r="G42" s="11" t="inlineStr">
        <is>
          <t>1. Nhập vượt giới hạn
2. Lưu</t>
        </is>
      </c>
      <c r="H42" s="11" t="inlineStr">
        <is>
          <t>Báo "&lt;tên&gt;: tối đa N ký tự"</t>
        </is>
      </c>
      <c r="I42" s="11" t="inlineStr">
        <is>
          <t>P2</t>
        </is>
      </c>
      <c r="J42" s="11" t="inlineStr">
        <is>
          <t>Biên</t>
        </is>
      </c>
      <c r="K42" s="11" t="inlineStr"/>
      <c r="L42" s="11" t="inlineStr">
        <is>
          <t>Chưa chạy</t>
        </is>
      </c>
      <c r="M42" s="11" t="inlineStr"/>
      <c r="N42" s="11" t="inlineStr"/>
      <c r="O42" s="11" t="inlineStr"/>
      <c r="P42" s="11" t="inlineStr"/>
    </row>
    <row r="43">
      <c r="A43" s="11" t="inlineStr">
        <is>
          <t>TC-ADM10-001</t>
        </is>
      </c>
      <c r="B43" s="11" t="inlineStr">
        <is>
          <t>ADM-10</t>
        </is>
      </c>
      <c r="C43" s="11" t="inlineStr">
        <is>
          <t>Admin</t>
        </is>
      </c>
      <c r="D43" s="11" t="inlineStr">
        <is>
          <t>Đổi cấu hình có hiệu lực ngay</t>
        </is>
      </c>
      <c r="E43" s="11" t="inlineStr">
        <is>
          <t>admin đăng nhập</t>
        </is>
      </c>
      <c r="F43" s="11" t="inlineStr">
        <is>
          <t>Hạn nộp tối đa = 30</t>
        </is>
      </c>
      <c r="G43" s="11" t="inlineStr">
        <is>
          <t>1. Lưu cấu hình
2. NTD đăng tin với hạn +31 ngày</t>
        </is>
      </c>
      <c r="H43" s="11" t="inlineStr">
        <is>
          <t>Báo hạn nộp tối đa 30 ngày</t>
        </is>
      </c>
      <c r="I43" s="11" t="inlineStr">
        <is>
          <t>P1</t>
        </is>
      </c>
      <c r="J43" s="11" t="inlineStr">
        <is>
          <t>Chức năng</t>
        </is>
      </c>
      <c r="K43" s="11" t="inlineStr"/>
      <c r="L43" s="11" t="inlineStr">
        <is>
          <t>Chưa chạy</t>
        </is>
      </c>
      <c r="M43" s="11" t="inlineStr"/>
      <c r="N43" s="11" t="inlineStr"/>
      <c r="O43" s="11" t="inlineStr"/>
      <c r="P43" s="11" t="inlineStr"/>
    </row>
    <row r="44">
      <c r="A44" s="11" t="inlineStr">
        <is>
          <t>TC-ADM10-002</t>
        </is>
      </c>
      <c r="B44" s="11" t="inlineStr">
        <is>
          <t>ADM-10</t>
        </is>
      </c>
      <c r="C44" s="11" t="inlineStr">
        <is>
          <t>Admin</t>
        </is>
      </c>
      <c r="D44" s="11" t="inlineStr">
        <is>
          <t>Giá trị cấu hình ngoài khoảng</t>
        </is>
      </c>
      <c r="E44" s="11" t="inlineStr">
        <is>
          <t>admin đăng nhập</t>
        </is>
      </c>
      <c r="F44" s="11" t="inlineStr">
        <is>
          <t>Hạn nộp tối đa = 6 và 366 (khoảng 7–365)</t>
        </is>
      </c>
      <c r="G44" s="11" t="inlineStr">
        <is>
          <t>1. Lưu từng giá trị</t>
        </is>
      </c>
      <c r="H44" s="11" t="inlineStr">
        <is>
          <t>Báo "&lt;tên&gt;: phải là số nguyên từ 7 đến 365"</t>
        </is>
      </c>
      <c r="I44" s="11" t="inlineStr">
        <is>
          <t>P1</t>
        </is>
      </c>
      <c r="J44" s="11" t="inlineStr">
        <is>
          <t>Biên</t>
        </is>
      </c>
      <c r="K44" s="11" t="inlineStr"/>
      <c r="L44" s="11" t="inlineStr">
        <is>
          <t>Chưa chạy</t>
        </is>
      </c>
      <c r="M44" s="11" t="inlineStr"/>
      <c r="N44" s="11" t="inlineStr"/>
      <c r="O44" s="11" t="inlineStr"/>
      <c r="P44" s="11" t="inlineStr"/>
    </row>
    <row r="45">
      <c r="A45" s="11" t="inlineStr">
        <is>
          <t>TC-ADM10-003</t>
        </is>
      </c>
      <c r="B45" s="11" t="inlineStr">
        <is>
          <t>ADM-10</t>
        </is>
      </c>
      <c r="C45" s="11" t="inlineStr">
        <is>
          <t>Admin</t>
        </is>
      </c>
      <c r="D45" s="11" t="inlineStr">
        <is>
          <t>Giá trị cấu hình đúng biên</t>
        </is>
      </c>
      <c r="E45" s="11" t="inlineStr">
        <is>
          <t>admin đăng nhập</t>
        </is>
      </c>
      <c r="F45" s="11" t="inlineStr">
        <is>
          <t>7 và 365</t>
        </is>
      </c>
      <c r="G45" s="11" t="inlineStr">
        <is>
          <t>1. Lưu từng giá trị</t>
        </is>
      </c>
      <c r="H45" s="11" t="inlineStr">
        <is>
          <t>Lưu thành công</t>
        </is>
      </c>
      <c r="I45" s="11" t="inlineStr">
        <is>
          <t>P2</t>
        </is>
      </c>
      <c r="J45" s="11" t="inlineStr">
        <is>
          <t>Biên</t>
        </is>
      </c>
      <c r="K45" s="11" t="inlineStr"/>
      <c r="L45" s="11" t="inlineStr">
        <is>
          <t>Chưa chạy</t>
        </is>
      </c>
      <c r="M45" s="11" t="inlineStr"/>
      <c r="N45" s="11" t="inlineStr"/>
      <c r="O45" s="11" t="inlineStr"/>
      <c r="P45" s="11" t="inlineStr"/>
    </row>
    <row r="46">
      <c r="A46" s="11" t="inlineStr">
        <is>
          <t>TC-ADM11-001</t>
        </is>
      </c>
      <c r="B46" s="11" t="inlineStr">
        <is>
          <t>ADM-11</t>
        </is>
      </c>
      <c r="C46" s="11" t="inlineStr">
        <is>
          <t>Admin</t>
        </is>
      </c>
      <c r="D46" s="11" t="inlineStr">
        <is>
          <t>Nhật ký ghi thao tác admin</t>
        </is>
      </c>
      <c r="E46" s="11" t="inlineStr">
        <is>
          <t>admin vừa duyệt tin, khóa người dùng</t>
        </is>
      </c>
      <c r="F46" s="11" t="inlineStr">
        <is>
          <t>–</t>
        </is>
      </c>
      <c r="G46" s="11" t="inlineStr">
        <is>
          <t>1. Mở /admin/audit</t>
        </is>
      </c>
      <c r="H46" s="11" t="inlineStr">
        <is>
          <t>Có bản ghi: ai, lúc nào, IP, chi tiết hành động</t>
        </is>
      </c>
      <c r="I46" s="11" t="inlineStr">
        <is>
          <t>P1</t>
        </is>
      </c>
      <c r="J46" s="11" t="inlineStr">
        <is>
          <t>Chức năng</t>
        </is>
      </c>
      <c r="K46" s="11" t="inlineStr"/>
      <c r="L46" s="11" t="inlineStr">
        <is>
          <t>Chưa chạy</t>
        </is>
      </c>
      <c r="M46" s="11" t="inlineStr"/>
      <c r="N46" s="11" t="inlineStr"/>
      <c r="O46" s="11" t="inlineStr"/>
      <c r="P46" s="11" t="inlineStr"/>
    </row>
    <row r="47">
      <c r="A47" s="11" t="inlineStr">
        <is>
          <t>TC-ADM11-002</t>
        </is>
      </c>
      <c r="B47" s="11" t="inlineStr">
        <is>
          <t>ADM-11</t>
        </is>
      </c>
      <c r="C47" s="11" t="inlineStr">
        <is>
          <t>Admin</t>
        </is>
      </c>
      <c r="D47" s="11" t="inlineStr">
        <is>
          <t>Lọc nhật ký theo loại</t>
        </is>
      </c>
      <c r="E47" s="11" t="inlineStr">
        <is>
          <t>Có nhiều loại bản ghi</t>
        </is>
      </c>
      <c r="F47" s="11" t="inlineStr">
        <is>
          <t>–</t>
        </is>
      </c>
      <c r="G47" s="11" t="inlineStr">
        <is>
          <t>1. Lọc theo loại hành động</t>
        </is>
      </c>
      <c r="H47" s="11" t="inlineStr">
        <is>
          <t>Chỉ hiện bản ghi đúng loại</t>
        </is>
      </c>
      <c r="I47" s="11" t="inlineStr">
        <is>
          <t>P2</t>
        </is>
      </c>
      <c r="J47" s="11" t="inlineStr">
        <is>
          <t>Chức năng</t>
        </is>
      </c>
      <c r="K47" s="11" t="inlineStr"/>
      <c r="L47" s="11" t="inlineStr">
        <is>
          <t>Chưa chạy</t>
        </is>
      </c>
      <c r="M47" s="11" t="inlineStr"/>
      <c r="N47" s="11" t="inlineStr"/>
      <c r="O47" s="11" t="inlineStr"/>
      <c r="P47" s="11" t="inlineStr"/>
    </row>
    <row r="48">
      <c r="A48" s="11" t="inlineStr">
        <is>
          <t>TC-ADM11-003</t>
        </is>
      </c>
      <c r="B48" s="11" t="inlineStr">
        <is>
          <t>ADM-11</t>
        </is>
      </c>
      <c r="C48" s="11" t="inlineStr">
        <is>
          <t>Admin</t>
        </is>
      </c>
      <c r="D48" s="11" t="inlineStr">
        <is>
          <t>Trang hàng đợi email</t>
        </is>
      </c>
      <c r="E48" s="11" t="inlineStr">
        <is>
          <t>Có email đã gửi / lỗi</t>
        </is>
      </c>
      <c r="F48" s="11" t="inlineStr">
        <is>
          <t>–</t>
        </is>
      </c>
      <c r="G48" s="11" t="inlineStr">
        <is>
          <t>1. Mở /admin/emails
2. Lọc trạng thái</t>
        </is>
      </c>
      <c r="H48" s="11" t="inlineStr">
        <is>
          <t>Hiện người nhận, tiêu đề, trạng thái, số lần thử, lỗi gần nhất</t>
        </is>
      </c>
      <c r="I48" s="11" t="inlineStr">
        <is>
          <t>P2</t>
        </is>
      </c>
      <c r="J48" s="11" t="inlineStr">
        <is>
          <t>Chức năng</t>
        </is>
      </c>
      <c r="K48" s="11" t="inlineStr"/>
      <c r="L48" s="11" t="inlineStr">
        <is>
          <t>Chưa chạy</t>
        </is>
      </c>
      <c r="M48" s="11" t="inlineStr"/>
      <c r="N48" s="11" t="inlineStr"/>
      <c r="O48" s="11" t="inlineStr"/>
      <c r="P48" s="11" t="inlineStr"/>
    </row>
  </sheetData>
  <autoFilter ref="A1:P48"/>
  <conditionalFormatting sqref="L2:L4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"Skip"</formula>
    </cfRule>
  </conditionalFormatting>
  <dataValidations count="1">
    <dataValidation sqref="L2:L48" showDropDown="0" showInputMessage="0" showErrorMessage="0" allowBlank="1" type="list">
      <formula1>"Chưa chạy,Pass,Fail,Blocked,Skip"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38" customWidth="1" min="4" max="4"/>
    <col width="32" customWidth="1" min="5" max="5"/>
    <col width="32" customWidth="1" min="6" max="6"/>
    <col width="48" customWidth="1" min="7" max="7"/>
    <col width="52" customWidth="1" min="8" max="8"/>
    <col width="8" customWidth="1" min="9" max="9"/>
    <col width="12" customWidth="1" min="10" max="10"/>
    <col width="30" customWidth="1" min="11" max="11"/>
    <col width="12" customWidth="1" min="12" max="12"/>
    <col width="12" customWidth="1" min="13" max="13"/>
    <col width="12" customWidth="1" min="14" max="14"/>
    <col width="10" customWidth="1" min="15" max="15"/>
    <col width="20" customWidth="1" min="16" max="16"/>
  </cols>
  <sheetData>
    <row r="1">
      <c r="A1" s="10" t="inlineStr">
        <is>
          <t>Mã TC</t>
        </is>
      </c>
      <c r="B1" s="10" t="inlineStr">
        <is>
          <t>Mã yêu cầu</t>
        </is>
      </c>
      <c r="C1" s="10" t="inlineStr">
        <is>
          <t>Module</t>
        </is>
      </c>
      <c r="D1" s="10" t="inlineStr">
        <is>
          <t>Tiêu đề</t>
        </is>
      </c>
      <c r="E1" s="10" t="inlineStr">
        <is>
          <t>Tiền điều kiện</t>
        </is>
      </c>
      <c r="F1" s="10" t="inlineStr">
        <is>
          <t>Dữ liệu test</t>
        </is>
      </c>
      <c r="G1" s="10" t="inlineStr">
        <is>
          <t>Các bước</t>
        </is>
      </c>
      <c r="H1" s="10" t="inlineStr">
        <is>
          <t>Kết quả mong đợi</t>
        </is>
      </c>
      <c r="I1" s="10" t="inlineStr">
        <is>
          <t>Ưu tiên</t>
        </is>
      </c>
      <c r="J1" s="10" t="inlineStr">
        <is>
          <t>Loại</t>
        </is>
      </c>
      <c r="K1" s="10" t="inlineStr">
        <is>
          <t>Kết quả thực tế</t>
        </is>
      </c>
      <c r="L1" s="10" t="inlineStr">
        <is>
          <t>Trạng thái</t>
        </is>
      </c>
      <c r="M1" s="10" t="inlineStr">
        <is>
          <t>Người test</t>
        </is>
      </c>
      <c r="N1" s="10" t="inlineStr">
        <is>
          <t>Ngày test</t>
        </is>
      </c>
      <c r="O1" s="10" t="inlineStr">
        <is>
          <t>Mã bug</t>
        </is>
      </c>
      <c r="P1" s="10" t="inlineStr">
        <is>
          <t>Ghi chú</t>
        </is>
      </c>
    </row>
    <row r="2">
      <c r="A2" s="11" t="inlineStr">
        <is>
          <t>TC-S51-001</t>
        </is>
      </c>
      <c r="B2" s="11" t="inlineStr">
        <is>
          <t>§5.1</t>
        </is>
      </c>
      <c r="C2" s="11" t="inlineStr">
        <is>
          <t>Quy tắc trạng thái</t>
        </is>
      </c>
      <c r="D2" s="11" t="inlineStr">
        <is>
          <t>Nháp → Chờ duyệt</t>
        </is>
      </c>
      <c r="E2" s="11" t="inlineStr">
        <is>
          <t>Tin X ở Nháp, đủ thông tin</t>
        </is>
      </c>
      <c r="F2" s="11" t="inlineStr">
        <is>
          <t>–</t>
        </is>
      </c>
      <c r="G2" s="11" t="inlineStr">
        <is>
          <t>1. NTD bấm Gửi duyệt</t>
        </is>
      </c>
      <c r="H2" s="11" t="inlineStr">
        <is>
          <t>Tin → Chờ duyệt</t>
        </is>
      </c>
      <c r="I2" s="11" t="inlineStr">
        <is>
          <t>P0</t>
        </is>
      </c>
      <c r="J2" s="11" t="inlineStr">
        <is>
          <t>Trạng thái</t>
        </is>
      </c>
      <c r="K2" s="11" t="inlineStr"/>
      <c r="L2" s="11" t="inlineStr">
        <is>
          <t>Chưa chạy</t>
        </is>
      </c>
      <c r="M2" s="11" t="inlineStr"/>
      <c r="N2" s="11" t="inlineStr"/>
      <c r="O2" s="11" t="inlineStr"/>
      <c r="P2" s="11" t="inlineStr"/>
    </row>
    <row r="3">
      <c r="A3" s="11" t="inlineStr">
        <is>
          <t>TC-S51-002</t>
        </is>
      </c>
      <c r="B3" s="11" t="inlineStr">
        <is>
          <t>§5.1</t>
        </is>
      </c>
      <c r="C3" s="11" t="inlineStr">
        <is>
          <t>Quy tắc trạng thái</t>
        </is>
      </c>
      <c r="D3" s="11" t="inlineStr">
        <is>
          <t>Bị từ chối → sửa &amp; gửi lại → Chờ duyệt</t>
        </is>
      </c>
      <c r="E3" s="11" t="inlineStr">
        <is>
          <t>Tin X Bị từ chối</t>
        </is>
      </c>
      <c r="F3" s="11" t="inlineStr">
        <is>
          <t>–</t>
        </is>
      </c>
      <c r="G3" s="11" t="inlineStr">
        <is>
          <t>1. NTD sửa nội dung
2. Gửi duyệt</t>
        </is>
      </c>
      <c r="H3" s="11" t="inlineStr">
        <is>
          <t>Tin → Chờ duyệt</t>
        </is>
      </c>
      <c r="I3" s="11" t="inlineStr">
        <is>
          <t>P0</t>
        </is>
      </c>
      <c r="J3" s="11" t="inlineStr">
        <is>
          <t>Trạng thái</t>
        </is>
      </c>
      <c r="K3" s="11" t="inlineStr"/>
      <c r="L3" s="11" t="inlineStr">
        <is>
          <t>Chưa chạy</t>
        </is>
      </c>
      <c r="M3" s="11" t="inlineStr"/>
      <c r="N3" s="11" t="inlineStr"/>
      <c r="O3" s="11" t="inlineStr"/>
      <c r="P3" s="11" t="inlineStr"/>
    </row>
    <row r="4">
      <c r="A4" s="11" t="inlineStr">
        <is>
          <t>TC-S51-003</t>
        </is>
      </c>
      <c r="B4" s="11" t="inlineStr">
        <is>
          <t>§5.1</t>
        </is>
      </c>
      <c r="C4" s="11" t="inlineStr">
        <is>
          <t>Quy tắc trạng thái</t>
        </is>
      </c>
      <c r="D4" s="11" t="inlineStr">
        <is>
          <t>Không gửi duyệt tin đang hiển thị / đã đóng</t>
        </is>
      </c>
      <c r="E4" s="11" t="inlineStr">
        <is>
          <t>Tin X APPROVED hoặc CLOSED</t>
        </is>
      </c>
      <c r="F4" s="11" t="inlineStr">
        <is>
          <t>–</t>
        </is>
      </c>
      <c r="G4" s="11" t="inlineStr">
        <is>
          <t>1. Gọi API gửi duyệt</t>
        </is>
      </c>
      <c r="H4" s="11" t="inlineStr">
        <is>
          <t>Báo "Chỉ gửi duyệt được tin nháp hoặc tin bị từ chối"</t>
        </is>
      </c>
      <c r="I4" s="11" t="inlineStr">
        <is>
          <t>P1</t>
        </is>
      </c>
      <c r="J4" s="11" t="inlineStr">
        <is>
          <t>Trạng thái</t>
        </is>
      </c>
      <c r="K4" s="11" t="inlineStr"/>
      <c r="L4" s="11" t="inlineStr">
        <is>
          <t>Chưa chạy</t>
        </is>
      </c>
      <c r="M4" s="11" t="inlineStr"/>
      <c r="N4" s="11" t="inlineStr"/>
      <c r="O4" s="11" t="inlineStr"/>
      <c r="P4" s="11" t="inlineStr"/>
    </row>
    <row r="5">
      <c r="A5" s="11" t="inlineStr">
        <is>
          <t>TC-S51-004</t>
        </is>
      </c>
      <c r="B5" s="11" t="inlineStr">
        <is>
          <t>§5.1</t>
        </is>
      </c>
      <c r="C5" s="11" t="inlineStr">
        <is>
          <t>Quy tắc trạng thái</t>
        </is>
      </c>
      <c r="D5" s="11" t="inlineStr">
        <is>
          <t>Không đóng tin chưa hiển thị</t>
        </is>
      </c>
      <c r="E5" s="11" t="inlineStr">
        <is>
          <t>Tin X Nháp / Chờ duyệt</t>
        </is>
      </c>
      <c r="F5" s="11" t="inlineStr">
        <is>
          <t>–</t>
        </is>
      </c>
      <c r="G5" s="11" t="inlineStr">
        <is>
          <t>1. Gọi API đóng tin</t>
        </is>
      </c>
      <c r="H5" s="11" t="inlineStr">
        <is>
          <t>Báo "Chỉ đóng được tin đang hiển thị"</t>
        </is>
      </c>
      <c r="I5" s="11" t="inlineStr">
        <is>
          <t>P1</t>
        </is>
      </c>
      <c r="J5" s="11" t="inlineStr">
        <is>
          <t>Trạng thái</t>
        </is>
      </c>
      <c r="K5" s="11" t="inlineStr"/>
      <c r="L5" s="11" t="inlineStr">
        <is>
          <t>Chưa chạy</t>
        </is>
      </c>
      <c r="M5" s="11" t="inlineStr"/>
      <c r="N5" s="11" t="inlineStr"/>
      <c r="O5" s="11" t="inlineStr"/>
      <c r="P5" s="11" t="inlineStr"/>
    </row>
    <row r="6">
      <c r="A6" s="11" t="inlineStr">
        <is>
          <t>TC-S51-005</t>
        </is>
      </c>
      <c r="B6" s="11" t="inlineStr">
        <is>
          <t>§5.1</t>
        </is>
      </c>
      <c r="C6" s="11" t="inlineStr">
        <is>
          <t>Quy tắc trạng thái</t>
        </is>
      </c>
      <c r="D6" s="11" t="inlineStr">
        <is>
          <t>Không mở lại tin đang hiển thị / nháp</t>
        </is>
      </c>
      <c r="E6" s="11" t="inlineStr">
        <is>
          <t>Tin X APPROVED hoặc DRAFT</t>
        </is>
      </c>
      <c r="F6" s="11" t="inlineStr">
        <is>
          <t>–</t>
        </is>
      </c>
      <c r="G6" s="11" t="inlineStr">
        <is>
          <t>1. Gọi API mở lại</t>
        </is>
      </c>
      <c r="H6" s="11" t="inlineStr">
        <is>
          <t>Báo "Chỉ mở lại được tin đã đóng hoặc hết hạn"</t>
        </is>
      </c>
      <c r="I6" s="11" t="inlineStr">
        <is>
          <t>P1</t>
        </is>
      </c>
      <c r="J6" s="11" t="inlineStr">
        <is>
          <t>Trạng thái</t>
        </is>
      </c>
      <c r="K6" s="11" t="inlineStr"/>
      <c r="L6" s="11" t="inlineStr">
        <is>
          <t>Chưa chạy</t>
        </is>
      </c>
      <c r="M6" s="11" t="inlineStr"/>
      <c r="N6" s="11" t="inlineStr"/>
      <c r="O6" s="11" t="inlineStr"/>
      <c r="P6" s="11" t="inlineStr"/>
    </row>
    <row r="7">
      <c r="A7" s="11" t="inlineStr">
        <is>
          <t>TC-S51-006</t>
        </is>
      </c>
      <c r="B7" s="11" t="inlineStr">
        <is>
          <t>§5.1</t>
        </is>
      </c>
      <c r="C7" s="11" t="inlineStr">
        <is>
          <t>Quy tắc trạng thái</t>
        </is>
      </c>
      <c r="D7" s="11" t="inlineStr">
        <is>
          <t>Không gỡ tin chưa hiển thị</t>
        </is>
      </c>
      <c r="E7" s="11" t="inlineStr">
        <is>
          <t>Tin X PENDING</t>
        </is>
      </c>
      <c r="F7" s="11" t="inlineStr">
        <is>
          <t>–</t>
        </is>
      </c>
      <c r="G7" s="11" t="inlineStr">
        <is>
          <t>1. Admin gọi API gỡ tin</t>
        </is>
      </c>
      <c r="H7" s="11" t="inlineStr">
        <is>
          <t>Báo "Chỉ gỡ được tin đang hiển thị"</t>
        </is>
      </c>
      <c r="I7" s="11" t="inlineStr">
        <is>
          <t>P1</t>
        </is>
      </c>
      <c r="J7" s="11" t="inlineStr">
        <is>
          <t>Trạng thái</t>
        </is>
      </c>
      <c r="K7" s="11" t="inlineStr"/>
      <c r="L7" s="11" t="inlineStr">
        <is>
          <t>Chưa chạy</t>
        </is>
      </c>
      <c r="M7" s="11" t="inlineStr"/>
      <c r="N7" s="11" t="inlineStr"/>
      <c r="O7" s="11" t="inlineStr"/>
      <c r="P7" s="11" t="inlineStr"/>
    </row>
    <row r="8">
      <c r="A8" s="11" t="inlineStr">
        <is>
          <t>TC-S51-007</t>
        </is>
      </c>
      <c r="B8" s="11" t="inlineStr">
        <is>
          <t>§5.1</t>
        </is>
      </c>
      <c r="C8" s="11" t="inlineStr">
        <is>
          <t>Quy tắc trạng thái</t>
        </is>
      </c>
      <c r="D8" s="11" t="inlineStr">
        <is>
          <t>Chỉ tin đã duyệt và còn hạn nhận đơn</t>
        </is>
      </c>
      <c r="E8" s="11" t="inlineStr">
        <is>
          <t>Có tin ở DRAFT, PENDING, REJECTED, CLOSED, EXPIRED</t>
        </is>
      </c>
      <c r="F8" s="11" t="inlineStr">
        <is>
          <t>–</t>
        </is>
      </c>
      <c r="G8" s="11" t="inlineStr">
        <is>
          <t>1. uv1 gọi API ứng tuyển vào từng tin</t>
        </is>
      </c>
      <c r="H8" s="11" t="inlineStr">
        <is>
          <t>Tất cả bị từ chối (không tồn tại / đã đóng / hết hạn)</t>
        </is>
      </c>
      <c r="I8" s="11" t="inlineStr">
        <is>
          <t>P0</t>
        </is>
      </c>
      <c r="J8" s="11" t="inlineStr">
        <is>
          <t>Trạng thái</t>
        </is>
      </c>
      <c r="K8" s="11" t="inlineStr"/>
      <c r="L8" s="11" t="inlineStr">
        <is>
          <t>Chưa chạy</t>
        </is>
      </c>
      <c r="M8" s="11" t="inlineStr"/>
      <c r="N8" s="11" t="inlineStr"/>
      <c r="O8" s="11" t="inlineStr"/>
      <c r="P8" s="11" t="inlineStr"/>
    </row>
    <row r="9">
      <c r="A9" s="11" t="inlineStr">
        <is>
          <t>TC-S51-008</t>
        </is>
      </c>
      <c r="B9" s="11" t="inlineStr">
        <is>
          <t>§5.1</t>
        </is>
      </c>
      <c r="C9" s="11" t="inlineStr">
        <is>
          <t>Quy tắc trạng thái</t>
        </is>
      </c>
      <c r="D9" s="11" t="inlineStr">
        <is>
          <t>Tin hết hạn hôm nay vẫn hiển thị</t>
        </is>
      </c>
      <c r="E9" s="11" t="inlineStr">
        <is>
          <t>Tin X hạn = hôm nay</t>
        </is>
      </c>
      <c r="F9" s="11" t="inlineStr">
        <is>
          <t>–</t>
        </is>
      </c>
      <c r="G9" s="11" t="inlineStr">
        <is>
          <t>1. Tìm tin X công khai
2. Ứng tuyển</t>
        </is>
      </c>
      <c r="H9" s="11" t="inlineStr">
        <is>
          <t>Vẫn hiển thị và nhận đơn trong ngày</t>
        </is>
      </c>
      <c r="I9" s="11" t="inlineStr">
        <is>
          <t>P1</t>
        </is>
      </c>
      <c r="J9" s="11" t="inlineStr">
        <is>
          <t>Trạng thái</t>
        </is>
      </c>
      <c r="K9" s="11" t="inlineStr"/>
      <c r="L9" s="11" t="inlineStr">
        <is>
          <t>Chưa chạy</t>
        </is>
      </c>
      <c r="M9" s="11" t="inlineStr"/>
      <c r="N9" s="11" t="inlineStr"/>
      <c r="O9" s="11" t="inlineStr"/>
      <c r="P9" s="11" t="inlineStr"/>
    </row>
    <row r="10">
      <c r="A10" s="11" t="inlineStr">
        <is>
          <t>TC-S52-001</t>
        </is>
      </c>
      <c r="B10" s="11" t="inlineStr">
        <is>
          <t>§5.2</t>
        </is>
      </c>
      <c r="C10" s="11" t="inlineStr">
        <is>
          <t>Quy tắc trạng thái</t>
        </is>
      </c>
      <c r="D10" s="11" t="inlineStr">
        <is>
          <t>Đã nộp → Phù hợp</t>
        </is>
      </c>
      <c r="E10" s="11" t="inlineStr">
        <is>
          <t>Đơn Đã nộp</t>
        </is>
      </c>
      <c r="F10" s="11" t="inlineStr">
        <is>
          <t>–</t>
        </is>
      </c>
      <c r="G10" s="11" t="inlineStr">
        <is>
          <t>1. NTD đổi sang Phù hợp (từ danh sách, không mở chi tiết)</t>
        </is>
      </c>
      <c r="H10" s="11" t="inlineStr">
        <is>
          <t>Thành công; ứng viên nhận thông báo</t>
        </is>
      </c>
      <c r="I10" s="11" t="inlineStr">
        <is>
          <t>P0</t>
        </is>
      </c>
      <c r="J10" s="11" t="inlineStr">
        <is>
          <t>Trạng thái</t>
        </is>
      </c>
      <c r="K10" s="11" t="inlineStr"/>
      <c r="L10" s="11" t="inlineStr">
        <is>
          <t>Chưa chạy</t>
        </is>
      </c>
      <c r="M10" s="11" t="inlineStr"/>
      <c r="N10" s="11" t="inlineStr"/>
      <c r="O10" s="11" t="inlineStr"/>
      <c r="P10" s="11" t="inlineStr"/>
    </row>
    <row r="11">
      <c r="A11" s="11" t="inlineStr">
        <is>
          <t>TC-S52-002</t>
        </is>
      </c>
      <c r="B11" s="11" t="inlineStr">
        <is>
          <t>§5.2</t>
        </is>
      </c>
      <c r="C11" s="11" t="inlineStr">
        <is>
          <t>Quy tắc trạng thái</t>
        </is>
      </c>
      <c r="D11" s="11" t="inlineStr">
        <is>
          <t>Đã nộp → Từ chối</t>
        </is>
      </c>
      <c r="E11" s="11" t="inlineStr">
        <is>
          <t>Đơn Đã nộp</t>
        </is>
      </c>
      <c r="F11" s="11" t="inlineStr">
        <is>
          <t>–</t>
        </is>
      </c>
      <c r="G11" s="11" t="inlineStr">
        <is>
          <t>1. NTD từ chối</t>
        </is>
      </c>
      <c r="H11" s="11" t="inlineStr">
        <is>
          <t>Thành công</t>
        </is>
      </c>
      <c r="I11" s="11" t="inlineStr">
        <is>
          <t>P0</t>
        </is>
      </c>
      <c r="J11" s="11" t="inlineStr">
        <is>
          <t>Trạng thái</t>
        </is>
      </c>
      <c r="K11" s="11" t="inlineStr"/>
      <c r="L11" s="11" t="inlineStr">
        <is>
          <t>Chưa chạy</t>
        </is>
      </c>
      <c r="M11" s="11" t="inlineStr"/>
      <c r="N11" s="11" t="inlineStr"/>
      <c r="O11" s="11" t="inlineStr"/>
      <c r="P11" s="11" t="inlineStr"/>
    </row>
    <row r="12">
      <c r="A12" s="11" t="inlineStr">
        <is>
          <t>TC-S52-003</t>
        </is>
      </c>
      <c r="B12" s="11" t="inlineStr">
        <is>
          <t>§5.2</t>
        </is>
      </c>
      <c r="C12" s="11" t="inlineStr">
        <is>
          <t>Quy tắc trạng thái</t>
        </is>
      </c>
      <c r="D12" s="11" t="inlineStr">
        <is>
          <t>Đã xem → Phỏng vấn</t>
        </is>
      </c>
      <c r="E12" s="11" t="inlineStr">
        <is>
          <t>Đơn Đã xem</t>
        </is>
      </c>
      <c r="F12" s="11" t="inlineStr">
        <is>
          <t>Lịch phỏng vấn</t>
        </is>
      </c>
      <c r="G12" s="11" t="inlineStr">
        <is>
          <t>1. NTD chuyển Phỏng vấn</t>
        </is>
      </c>
      <c r="H12" s="11" t="inlineStr">
        <is>
          <t>Thành công</t>
        </is>
      </c>
      <c r="I12" s="11" t="inlineStr">
        <is>
          <t>P0</t>
        </is>
      </c>
      <c r="J12" s="11" t="inlineStr">
        <is>
          <t>Trạng thái</t>
        </is>
      </c>
      <c r="K12" s="11" t="inlineStr"/>
      <c r="L12" s="11" t="inlineStr">
        <is>
          <t>Chưa chạy</t>
        </is>
      </c>
      <c r="M12" s="11" t="inlineStr"/>
      <c r="N12" s="11" t="inlineStr"/>
      <c r="O12" s="11" t="inlineStr"/>
      <c r="P12" s="11" t="inlineStr"/>
    </row>
    <row r="13">
      <c r="A13" s="11" t="inlineStr">
        <is>
          <t>TC-S52-004</t>
        </is>
      </c>
      <c r="B13" s="11" t="inlineStr">
        <is>
          <t>§5.2</t>
        </is>
      </c>
      <c r="C13" s="11" t="inlineStr">
        <is>
          <t>Quy tắc trạng thái</t>
        </is>
      </c>
      <c r="D13" s="11" t="inlineStr">
        <is>
          <t>Phù hợp → Offer</t>
        </is>
      </c>
      <c r="E13" s="11" t="inlineStr">
        <is>
          <t>Đơn Phù hợp</t>
        </is>
      </c>
      <c r="F13" s="11" t="inlineStr">
        <is>
          <t>–</t>
        </is>
      </c>
      <c r="G13" s="11" t="inlineStr">
        <is>
          <t>1. NTD chuyển Offer</t>
        </is>
      </c>
      <c r="H13" s="11" t="inlineStr">
        <is>
          <t>Thành công</t>
        </is>
      </c>
      <c r="I13" s="11" t="inlineStr">
        <is>
          <t>P0</t>
        </is>
      </c>
      <c r="J13" s="11" t="inlineStr">
        <is>
          <t>Trạng thái</t>
        </is>
      </c>
      <c r="K13" s="11" t="inlineStr"/>
      <c r="L13" s="11" t="inlineStr">
        <is>
          <t>Chưa chạy</t>
        </is>
      </c>
      <c r="M13" s="11" t="inlineStr"/>
      <c r="N13" s="11" t="inlineStr"/>
      <c r="O13" s="11" t="inlineStr"/>
      <c r="P13" s="11" t="inlineStr"/>
    </row>
    <row r="14">
      <c r="A14" s="11" t="inlineStr">
        <is>
          <t>TC-S52-005</t>
        </is>
      </c>
      <c r="B14" s="11" t="inlineStr">
        <is>
          <t>§5.2</t>
        </is>
      </c>
      <c r="C14" s="11" t="inlineStr">
        <is>
          <t>Quy tắc trạng thái</t>
        </is>
      </c>
      <c r="D14" s="11" t="inlineStr">
        <is>
          <t>Phỏng vấn → Phỏng vấn (đổi lịch)</t>
        </is>
      </c>
      <c r="E14" s="11" t="inlineStr">
        <is>
          <t>Đơn Phỏng vấn</t>
        </is>
      </c>
      <c r="F14" s="11" t="inlineStr">
        <is>
          <t>Lịch mới</t>
        </is>
      </c>
      <c r="G14" s="11" t="inlineStr">
        <is>
          <t>1. NTD cập nhật lịch phỏng vấn</t>
        </is>
      </c>
      <c r="H14" s="11" t="inlineStr">
        <is>
          <t>Lịch mới được lưu; ứng viên nhận thông báo đổi lịch</t>
        </is>
      </c>
      <c r="I14" s="11" t="inlineStr">
        <is>
          <t>P0</t>
        </is>
      </c>
      <c r="J14" s="11" t="inlineStr">
        <is>
          <t>Trạng thái</t>
        </is>
      </c>
      <c r="K14" s="11" t="inlineStr"/>
      <c r="L14" s="11" t="inlineStr">
        <is>
          <t>Chưa chạy</t>
        </is>
      </c>
      <c r="M14" s="11" t="inlineStr"/>
      <c r="N14" s="11" t="inlineStr"/>
      <c r="O14" s="11" t="inlineStr"/>
      <c r="P14" s="11" t="inlineStr"/>
    </row>
    <row r="15">
      <c r="A15" s="11" t="inlineStr">
        <is>
          <t>TC-S52-006</t>
        </is>
      </c>
      <c r="B15" s="11" t="inlineStr">
        <is>
          <t>§5.2</t>
        </is>
      </c>
      <c r="C15" s="11" t="inlineStr">
        <is>
          <t>Quy tắc trạng thái</t>
        </is>
      </c>
      <c r="D15" s="11" t="inlineStr">
        <is>
          <t>Phỏng vấn → Offer</t>
        </is>
      </c>
      <c r="E15" s="11" t="inlineStr">
        <is>
          <t>Đơn Phỏng vấn</t>
        </is>
      </c>
      <c r="F15" s="11" t="inlineStr">
        <is>
          <t>–</t>
        </is>
      </c>
      <c r="G15" s="11" t="inlineStr">
        <is>
          <t>1. NTD chuyển Offer</t>
        </is>
      </c>
      <c r="H15" s="11" t="inlineStr">
        <is>
          <t>Thành công</t>
        </is>
      </c>
      <c r="I15" s="11" t="inlineStr">
        <is>
          <t>P0</t>
        </is>
      </c>
      <c r="J15" s="11" t="inlineStr">
        <is>
          <t>Trạng thái</t>
        </is>
      </c>
      <c r="K15" s="11" t="inlineStr"/>
      <c r="L15" s="11" t="inlineStr">
        <is>
          <t>Chưa chạy</t>
        </is>
      </c>
      <c r="M15" s="11" t="inlineStr"/>
      <c r="N15" s="11" t="inlineStr"/>
      <c r="O15" s="11" t="inlineStr"/>
      <c r="P15" s="11" t="inlineStr"/>
    </row>
    <row r="16">
      <c r="A16" s="11" t="inlineStr">
        <is>
          <t>TC-S52-007</t>
        </is>
      </c>
      <c r="B16" s="11" t="inlineStr">
        <is>
          <t>§5.2</t>
        </is>
      </c>
      <c r="C16" s="11" t="inlineStr">
        <is>
          <t>Quy tắc trạng thái</t>
        </is>
      </c>
      <c r="D16" s="11" t="inlineStr">
        <is>
          <t>Offer → Từ chối</t>
        </is>
      </c>
      <c r="E16" s="11" t="inlineStr">
        <is>
          <t>Đơn Offer</t>
        </is>
      </c>
      <c r="F16" s="11" t="inlineStr">
        <is>
          <t>–</t>
        </is>
      </c>
      <c r="G16" s="11" t="inlineStr">
        <is>
          <t>1. NTD từ chối</t>
        </is>
      </c>
      <c r="H16" s="11" t="inlineStr">
        <is>
          <t>Thành công</t>
        </is>
      </c>
      <c r="I16" s="11" t="inlineStr">
        <is>
          <t>P0</t>
        </is>
      </c>
      <c r="J16" s="11" t="inlineStr">
        <is>
          <t>Trạng thái</t>
        </is>
      </c>
      <c r="K16" s="11" t="inlineStr"/>
      <c r="L16" s="11" t="inlineStr">
        <is>
          <t>Chưa chạy</t>
        </is>
      </c>
      <c r="M16" s="11" t="inlineStr"/>
      <c r="N16" s="11" t="inlineStr"/>
      <c r="O16" s="11" t="inlineStr"/>
      <c r="P16" s="11" t="inlineStr"/>
    </row>
    <row r="17">
      <c r="A17" s="11" t="inlineStr">
        <is>
          <t>TC-S52-008</t>
        </is>
      </c>
      <c r="B17" s="11" t="inlineStr">
        <is>
          <t>§5.2</t>
        </is>
      </c>
      <c r="C17" s="11" t="inlineStr">
        <is>
          <t>Quy tắc trạng thái</t>
        </is>
      </c>
      <c r="D17" s="11" t="inlineStr">
        <is>
          <t>Từ chối → Phù hợp (xem xét lại)</t>
        </is>
      </c>
      <c r="E17" s="11" t="inlineStr">
        <is>
          <t>Đơn Từ chối</t>
        </is>
      </c>
      <c r="F17" s="11" t="inlineStr">
        <is>
          <t>–</t>
        </is>
      </c>
      <c r="G17" s="11" t="inlineStr">
        <is>
          <t>1. NTD chuyển Phù hợp</t>
        </is>
      </c>
      <c r="H17" s="11" t="inlineStr">
        <is>
          <t>Thành công</t>
        </is>
      </c>
      <c r="I17" s="11" t="inlineStr">
        <is>
          <t>P1</t>
        </is>
      </c>
      <c r="J17" s="11" t="inlineStr">
        <is>
          <t>Trạng thái</t>
        </is>
      </c>
      <c r="K17" s="11" t="inlineStr"/>
      <c r="L17" s="11" t="inlineStr">
        <is>
          <t>Chưa chạy</t>
        </is>
      </c>
      <c r="M17" s="11" t="inlineStr"/>
      <c r="N17" s="11" t="inlineStr"/>
      <c r="O17" s="11" t="inlineStr"/>
      <c r="P17" s="11" t="inlineStr"/>
    </row>
    <row r="18">
      <c r="A18" s="11" t="inlineStr">
        <is>
          <t>TC-S52-009</t>
        </is>
      </c>
      <c r="B18" s="11" t="inlineStr">
        <is>
          <t>§5.2</t>
        </is>
      </c>
      <c r="C18" s="11" t="inlineStr">
        <is>
          <t>Quy tắc trạng thái</t>
        </is>
      </c>
      <c r="D18" s="11" t="inlineStr">
        <is>
          <t>Không chuyển Offer → Phỏng vấn</t>
        </is>
      </c>
      <c r="E18" s="11" t="inlineStr">
        <is>
          <t>Đơn Offer</t>
        </is>
      </c>
      <c r="F18" s="11" t="inlineStr">
        <is>
          <t>–</t>
        </is>
      </c>
      <c r="G18" s="11" t="inlineStr">
        <is>
          <t>1. Thử chuyển Phỏng vấn (UI + API)</t>
        </is>
      </c>
      <c r="H18" s="11" t="inlineStr">
        <is>
          <t>UI không có lựa chọn; API báo "Không thể chuyển sang trạng thái này"</t>
        </is>
      </c>
      <c r="I18" s="11" t="inlineStr">
        <is>
          <t>P0</t>
        </is>
      </c>
      <c r="J18" s="11" t="inlineStr">
        <is>
          <t>Trạng thái</t>
        </is>
      </c>
      <c r="K18" s="11" t="inlineStr"/>
      <c r="L18" s="11" t="inlineStr">
        <is>
          <t>Chưa chạy</t>
        </is>
      </c>
      <c r="M18" s="11" t="inlineStr"/>
      <c r="N18" s="11" t="inlineStr"/>
      <c r="O18" s="11" t="inlineStr"/>
      <c r="P18" s="11" t="inlineStr"/>
    </row>
    <row r="19">
      <c r="A19" s="11" t="inlineStr">
        <is>
          <t>TC-S52-010</t>
        </is>
      </c>
      <c r="B19" s="11" t="inlineStr">
        <is>
          <t>§5.2</t>
        </is>
      </c>
      <c r="C19" s="11" t="inlineStr">
        <is>
          <t>Quy tắc trạng thái</t>
        </is>
      </c>
      <c r="D19" s="11" t="inlineStr">
        <is>
          <t>Không chuyển Đã nộp → Offer</t>
        </is>
      </c>
      <c r="E19" s="11" t="inlineStr">
        <is>
          <t>Đơn Đã nộp</t>
        </is>
      </c>
      <c r="F19" s="11" t="inlineStr">
        <is>
          <t>–</t>
        </is>
      </c>
      <c r="G19" s="11" t="inlineStr">
        <is>
          <t>1. Gọi API chuyển Offer</t>
        </is>
      </c>
      <c r="H19" s="11" t="inlineStr">
        <is>
          <t>Báo "Không thể chuyển sang trạng thái này"</t>
        </is>
      </c>
      <c r="I19" s="11" t="inlineStr">
        <is>
          <t>P0</t>
        </is>
      </c>
      <c r="J19" s="11" t="inlineStr">
        <is>
          <t>Trạng thái</t>
        </is>
      </c>
      <c r="K19" s="11" t="inlineStr"/>
      <c r="L19" s="11" t="inlineStr">
        <is>
          <t>Chưa chạy</t>
        </is>
      </c>
      <c r="M19" s="11" t="inlineStr"/>
      <c r="N19" s="11" t="inlineStr"/>
      <c r="O19" s="11" t="inlineStr"/>
      <c r="P19" s="11" t="inlineStr"/>
    </row>
    <row r="20">
      <c r="A20" s="11" t="inlineStr">
        <is>
          <t>TC-S52-011</t>
        </is>
      </c>
      <c r="B20" s="11" t="inlineStr">
        <is>
          <t>§5.2</t>
        </is>
      </c>
      <c r="C20" s="11" t="inlineStr">
        <is>
          <t>Quy tắc trạng thái</t>
        </is>
      </c>
      <c r="D20" s="11" t="inlineStr">
        <is>
          <t>Không chuyển Từ chối → Phỏng vấn / Offer</t>
        </is>
      </c>
      <c r="E20" s="11" t="inlineStr">
        <is>
          <t>Đơn Từ chối</t>
        </is>
      </c>
      <c r="F20" s="11" t="inlineStr">
        <is>
          <t>–</t>
        </is>
      </c>
      <c r="G20" s="11" t="inlineStr">
        <is>
          <t>1. Gọi API chuyển Phỏng vấn, Offer</t>
        </is>
      </c>
      <c r="H20" s="11" t="inlineStr">
        <is>
          <t>Đều bị từ chối</t>
        </is>
      </c>
      <c r="I20" s="11" t="inlineStr">
        <is>
          <t>P1</t>
        </is>
      </c>
      <c r="J20" s="11" t="inlineStr">
        <is>
          <t>Trạng thái</t>
        </is>
      </c>
      <c r="K20" s="11" t="inlineStr"/>
      <c r="L20" s="11" t="inlineStr">
        <is>
          <t>Chưa chạy</t>
        </is>
      </c>
      <c r="M20" s="11" t="inlineStr"/>
      <c r="N20" s="11" t="inlineStr"/>
      <c r="O20" s="11" t="inlineStr"/>
      <c r="P20" s="11" t="inlineStr"/>
    </row>
    <row r="21">
      <c r="A21" s="11" t="inlineStr">
        <is>
          <t>TC-S52-012</t>
        </is>
      </c>
      <c r="B21" s="11" t="inlineStr">
        <is>
          <t>§5.2</t>
        </is>
      </c>
      <c r="C21" s="11" t="inlineStr">
        <is>
          <t>Quy tắc trạng thái</t>
        </is>
      </c>
      <c r="D21" s="11" t="inlineStr">
        <is>
          <t>Không xử lý đơn đã rút</t>
        </is>
      </c>
      <c r="E21" s="11" t="inlineStr">
        <is>
          <t>Đơn Đã rút</t>
        </is>
      </c>
      <c r="F21" s="11" t="inlineStr">
        <is>
          <t>–</t>
        </is>
      </c>
      <c r="G21" s="11" t="inlineStr">
        <is>
          <t>1. NTD gọi API đổi trạng thái</t>
        </is>
      </c>
      <c r="H21" s="11" t="inlineStr">
        <is>
          <t>Báo "Ứng viên đã rút đơn"</t>
        </is>
      </c>
      <c r="I21" s="11" t="inlineStr">
        <is>
          <t>P0</t>
        </is>
      </c>
      <c r="J21" s="11" t="inlineStr">
        <is>
          <t>Trạng thái</t>
        </is>
      </c>
      <c r="K21" s="11" t="inlineStr"/>
      <c r="L21" s="11" t="inlineStr">
        <is>
          <t>Chưa chạy</t>
        </is>
      </c>
      <c r="M21" s="11" t="inlineStr"/>
      <c r="N21" s="11" t="inlineStr"/>
      <c r="O21" s="11" t="inlineStr"/>
      <c r="P21" s="11" t="inlineStr"/>
    </row>
    <row r="22">
      <c r="A22" s="11" t="inlineStr">
        <is>
          <t>TC-S52-013</t>
        </is>
      </c>
      <c r="B22" s="11" t="inlineStr">
        <is>
          <t>§5.2</t>
        </is>
      </c>
      <c r="C22" s="11" t="inlineStr">
        <is>
          <t>Quy tắc trạng thái</t>
        </is>
      </c>
      <c r="D22" s="11" t="inlineStr">
        <is>
          <t>Không chuyển ngược về Đã nộp / Đã xem</t>
        </is>
      </c>
      <c r="E22" s="11" t="inlineStr">
        <is>
          <t>Đơn Phù hợp</t>
        </is>
      </c>
      <c r="F22" s="11" t="inlineStr">
        <is>
          <t>status: VIEWED</t>
        </is>
      </c>
      <c r="G22" s="11" t="inlineStr">
        <is>
          <t>1. Gọi API với trạng thái Đã xem</t>
        </is>
      </c>
      <c r="H22" s="11" t="inlineStr">
        <is>
          <t>Báo "Trạng thái không hợp lệ" hoặc "Không thể chuyển sang trạng thái này"</t>
        </is>
      </c>
      <c r="I22" s="11" t="inlineStr">
        <is>
          <t>P1</t>
        </is>
      </c>
      <c r="J22" s="11" t="inlineStr">
        <is>
          <t>Trạng thái</t>
        </is>
      </c>
      <c r="K22" s="11" t="inlineStr"/>
      <c r="L22" s="11" t="inlineStr">
        <is>
          <t>Chưa chạy</t>
        </is>
      </c>
      <c r="M22" s="11" t="inlineStr"/>
      <c r="N22" s="11" t="inlineStr"/>
      <c r="O22" s="11" t="inlineStr"/>
      <c r="P22" s="11" t="inlineStr"/>
    </row>
    <row r="23">
      <c r="A23" s="11" t="inlineStr">
        <is>
          <t>TC-S53-001</t>
        </is>
      </c>
      <c r="B23" s="11" t="inlineStr">
        <is>
          <t>§5.3</t>
        </is>
      </c>
      <c r="C23" s="11" t="inlineStr">
        <is>
          <t>Quy tắc trạng thái</t>
        </is>
      </c>
      <c r="D23" s="11" t="inlineStr">
        <is>
          <t>Vòng xác minh đầy đủ</t>
        </is>
      </c>
      <c r="E23" s="11" t="inlineStr">
        <is>
          <t>Công ty mới UNVERIFIED có MST</t>
        </is>
      </c>
      <c r="F23" s="11" t="inlineStr">
        <is>
          <t>–</t>
        </is>
      </c>
      <c r="G23" s="11" t="inlineStr">
        <is>
          <t>1. NTD gửi giấy phép → PENDING
2. Admin từ chối → REJECTED
3. NTD gửi lại → PENDING
4. Admin xác minh → VERIFIED
5. Admin thu hồi</t>
        </is>
      </c>
      <c r="H23" s="11" t="inlineStr">
        <is>
          <t>Mỗi bước đúng trạng thái; NTD nhận thông báo mỗi quyết định</t>
        </is>
      </c>
      <c r="I23" s="11" t="inlineStr">
        <is>
          <t>P0</t>
        </is>
      </c>
      <c r="J23" s="11" t="inlineStr">
        <is>
          <t>Trạng thái</t>
        </is>
      </c>
      <c r="K23" s="11" t="inlineStr"/>
      <c r="L23" s="11" t="inlineStr">
        <is>
          <t>Chưa chạy</t>
        </is>
      </c>
      <c r="M23" s="11" t="inlineStr"/>
      <c r="N23" s="11" t="inlineStr"/>
      <c r="O23" s="11" t="inlineStr"/>
      <c r="P23" s="11" t="inlineStr"/>
    </row>
    <row r="24">
      <c r="A24" s="11" t="inlineStr">
        <is>
          <t>TC-S53-002</t>
        </is>
      </c>
      <c r="B24" s="11" t="inlineStr">
        <is>
          <t>§5.3</t>
        </is>
      </c>
      <c r="C24" s="11" t="inlineStr">
        <is>
          <t>Quy tắc trạng thái</t>
        </is>
      </c>
      <c r="D24" s="11" t="inlineStr">
        <is>
          <t>Gửi xác minh khi chưa có MST</t>
        </is>
      </c>
      <c r="E24" s="11" t="inlineStr">
        <is>
          <t>Công ty chưa nhập MST</t>
        </is>
      </c>
      <c r="F24" s="11" t="inlineStr">
        <is>
          <t>–</t>
        </is>
      </c>
      <c r="G24" s="11" t="inlineStr">
        <is>
          <t>1. Gửi giấy phép</t>
        </is>
      </c>
      <c r="H24" s="11" t="inlineStr">
        <is>
          <t>Bị yêu cầu nhập MST trước</t>
        </is>
      </c>
      <c r="I24" s="11" t="inlineStr">
        <is>
          <t>P1</t>
        </is>
      </c>
      <c r="J24" s="11" t="inlineStr">
        <is>
          <t>Validate</t>
        </is>
      </c>
      <c r="K24" s="11" t="inlineStr"/>
      <c r="L24" s="11" t="inlineStr">
        <is>
          <t>Chưa chạy</t>
        </is>
      </c>
      <c r="M24" s="11" t="inlineStr"/>
      <c r="N24" s="11" t="inlineStr"/>
      <c r="O24" s="11" t="inlineStr"/>
      <c r="P24" s="11" t="inlineStr"/>
    </row>
    <row r="25">
      <c r="A25" s="11" t="inlineStr">
        <is>
          <t>TC-S53-003</t>
        </is>
      </c>
      <c r="B25" s="11" t="inlineStr">
        <is>
          <t>§5.3</t>
        </is>
      </c>
      <c r="C25" s="11" t="inlineStr">
        <is>
          <t>Quy tắc trạng thái</t>
        </is>
      </c>
      <c r="D25" s="11" t="inlineStr">
        <is>
          <t>Từ chối khi không có yêu cầu xác minh</t>
        </is>
      </c>
      <c r="E25" s="11" t="inlineStr">
        <is>
          <t>Công ty VERIFIED</t>
        </is>
      </c>
      <c r="F25" s="11" t="inlineStr">
        <is>
          <t>–</t>
        </is>
      </c>
      <c r="G25" s="11" t="inlineStr">
        <is>
          <t>1. Admin gọi API từ chối xác minh</t>
        </is>
      </c>
      <c r="H25" s="11" t="inlineStr">
        <is>
          <t>Báo "Không có yêu cầu xác minh để từ chối"</t>
        </is>
      </c>
      <c r="I25" s="11" t="inlineStr">
        <is>
          <t>P1</t>
        </is>
      </c>
      <c r="J25" s="11" t="inlineStr">
        <is>
          <t>Trạng thái</t>
        </is>
      </c>
      <c r="K25" s="11" t="inlineStr"/>
      <c r="L25" s="11" t="inlineStr">
        <is>
          <t>Chưa chạy</t>
        </is>
      </c>
      <c r="M25" s="11" t="inlineStr"/>
      <c r="N25" s="11" t="inlineStr"/>
      <c r="O25" s="11" t="inlineStr"/>
      <c r="P25" s="11" t="inlineStr"/>
    </row>
  </sheetData>
  <autoFilter ref="A1:P25"/>
  <conditionalFormatting sqref="L2:L2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"Skip"</formula>
    </cfRule>
  </conditionalFormatting>
  <dataValidations count="1">
    <dataValidation sqref="L2:L25" showDropDown="0" showInputMessage="0" showErrorMessage="0" allowBlank="1" type="list">
      <formula1>"Chưa chạy,Pass,Fail,Blocked,Skip"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38" customWidth="1" min="4" max="4"/>
    <col width="32" customWidth="1" min="5" max="5"/>
    <col width="32" customWidth="1" min="6" max="6"/>
    <col width="48" customWidth="1" min="7" max="7"/>
    <col width="52" customWidth="1" min="8" max="8"/>
    <col width="8" customWidth="1" min="9" max="9"/>
    <col width="12" customWidth="1" min="10" max="10"/>
    <col width="30" customWidth="1" min="11" max="11"/>
    <col width="12" customWidth="1" min="12" max="12"/>
    <col width="12" customWidth="1" min="13" max="13"/>
    <col width="12" customWidth="1" min="14" max="14"/>
    <col width="10" customWidth="1" min="15" max="15"/>
    <col width="20" customWidth="1" min="16" max="16"/>
  </cols>
  <sheetData>
    <row r="1">
      <c r="A1" s="10" t="inlineStr">
        <is>
          <t>Mã TC</t>
        </is>
      </c>
      <c r="B1" s="10" t="inlineStr">
        <is>
          <t>Mã yêu cầu</t>
        </is>
      </c>
      <c r="C1" s="10" t="inlineStr">
        <is>
          <t>Module</t>
        </is>
      </c>
      <c r="D1" s="10" t="inlineStr">
        <is>
          <t>Tiêu đề</t>
        </is>
      </c>
      <c r="E1" s="10" t="inlineStr">
        <is>
          <t>Tiền điều kiện</t>
        </is>
      </c>
      <c r="F1" s="10" t="inlineStr">
        <is>
          <t>Dữ liệu test</t>
        </is>
      </c>
      <c r="G1" s="10" t="inlineStr">
        <is>
          <t>Các bước</t>
        </is>
      </c>
      <c r="H1" s="10" t="inlineStr">
        <is>
          <t>Kết quả mong đợi</t>
        </is>
      </c>
      <c r="I1" s="10" t="inlineStr">
        <is>
          <t>Ưu tiên</t>
        </is>
      </c>
      <c r="J1" s="10" t="inlineStr">
        <is>
          <t>Loại</t>
        </is>
      </c>
      <c r="K1" s="10" t="inlineStr">
        <is>
          <t>Kết quả thực tế</t>
        </is>
      </c>
      <c r="L1" s="10" t="inlineStr">
        <is>
          <t>Trạng thái</t>
        </is>
      </c>
      <c r="M1" s="10" t="inlineStr">
        <is>
          <t>Người test</t>
        </is>
      </c>
      <c r="N1" s="10" t="inlineStr">
        <is>
          <t>Ngày test</t>
        </is>
      </c>
      <c r="O1" s="10" t="inlineStr">
        <is>
          <t>Mã bug</t>
        </is>
      </c>
      <c r="P1" s="10" t="inlineStr">
        <is>
          <t>Ghi chú</t>
        </is>
      </c>
    </row>
    <row r="2">
      <c r="A2" s="11" t="inlineStr">
        <is>
          <t>TC-SEC-001</t>
        </is>
      </c>
      <c r="B2" s="11" t="inlineStr">
        <is>
          <t>§6.1</t>
        </is>
      </c>
      <c r="C2" s="11" t="inlineStr">
        <is>
          <t>Phi chức năng</t>
        </is>
      </c>
      <c r="D2" s="11" t="inlineStr">
        <is>
          <t>Mật khẩu không lưu dạng rõ</t>
        </is>
      </c>
      <c r="E2" s="11" t="inlineStr">
        <is>
          <t>Có tài khoản uv1</t>
        </is>
      </c>
      <c r="F2" s="11" t="inlineStr">
        <is>
          <t>–</t>
        </is>
      </c>
      <c r="G2" s="11" t="inlineStr">
        <is>
          <t>1. Xem bảng users trong DB</t>
        </is>
      </c>
      <c r="H2" s="11" t="inlineStr">
        <is>
          <t>Cột mật khẩu là chuỗi băm (scrypt), không đọc được mật khẩu gốc</t>
        </is>
      </c>
      <c r="I2" s="11" t="inlineStr">
        <is>
          <t>P0</t>
        </is>
      </c>
      <c r="J2" s="11" t="inlineStr">
        <is>
          <t>Bảo mật</t>
        </is>
      </c>
      <c r="K2" s="11" t="inlineStr"/>
      <c r="L2" s="11" t="inlineStr">
        <is>
          <t>Chưa chạy</t>
        </is>
      </c>
      <c r="M2" s="11" t="inlineStr"/>
      <c r="N2" s="11" t="inlineStr"/>
      <c r="O2" s="11" t="inlineStr"/>
      <c r="P2" s="11" t="inlineStr"/>
    </row>
    <row r="3">
      <c r="A3" s="11" t="inlineStr">
        <is>
          <t>TC-SEC-002</t>
        </is>
      </c>
      <c r="B3" s="11" t="inlineStr">
        <is>
          <t>§6.1</t>
        </is>
      </c>
      <c r="C3" s="11" t="inlineStr">
        <is>
          <t>Phi chức năng</t>
        </is>
      </c>
      <c r="D3" s="11" t="inlineStr">
        <is>
          <t>API yêu cầu đăng nhập mặc định</t>
        </is>
      </c>
      <c r="E3" s="11" t="inlineStr">
        <is>
          <t>Chưa đăng nhập</t>
        </is>
      </c>
      <c r="F3" s="11" t="inlineStr">
        <is>
          <t>–</t>
        </is>
      </c>
      <c r="G3" s="11" t="inlineStr">
        <is>
          <t>1. Gọi các API /api/candidate/*, /api/employer/*, /api/admin/* không có token</t>
        </is>
      </c>
      <c r="H3" s="11" t="inlineStr">
        <is>
          <t>Trả 401</t>
        </is>
      </c>
      <c r="I3" s="11" t="inlineStr">
        <is>
          <t>P0</t>
        </is>
      </c>
      <c r="J3" s="11" t="inlineStr">
        <is>
          <t>Bảo mật</t>
        </is>
      </c>
      <c r="K3" s="11" t="inlineStr"/>
      <c r="L3" s="11" t="inlineStr">
        <is>
          <t>Chưa chạy</t>
        </is>
      </c>
      <c r="M3" s="11" t="inlineStr"/>
      <c r="N3" s="11" t="inlineStr"/>
      <c r="O3" s="11" t="inlineStr"/>
      <c r="P3" s="11" t="inlineStr"/>
    </row>
    <row r="4">
      <c r="A4" s="11" t="inlineStr">
        <is>
          <t>TC-SEC-003</t>
        </is>
      </c>
      <c r="B4" s="11" t="inlineStr">
        <is>
          <t>§6.1</t>
        </is>
      </c>
      <c r="C4" s="11" t="inlineStr">
        <is>
          <t>Phi chức năng</t>
        </is>
      </c>
      <c r="D4" s="11" t="inlineStr">
        <is>
          <t>Token giả / sửa nội dung bị từ chối</t>
        </is>
      </c>
      <c r="E4" s="11" t="inlineStr">
        <is>
          <t>uv1 có access token</t>
        </is>
      </c>
      <c r="F4" s="11" t="inlineStr">
        <is>
          <t>Sửa 1 ký tự phần payload (role → ADMIN)</t>
        </is>
      </c>
      <c r="G4" s="11" t="inlineStr">
        <is>
          <t>1. Gọi API admin với token đã sửa</t>
        </is>
      </c>
      <c r="H4" s="11" t="inlineStr">
        <is>
          <t>Trả 401</t>
        </is>
      </c>
      <c r="I4" s="11" t="inlineStr">
        <is>
          <t>P0</t>
        </is>
      </c>
      <c r="J4" s="11" t="inlineStr">
        <is>
          <t>Bảo mật</t>
        </is>
      </c>
      <c r="K4" s="11" t="inlineStr"/>
      <c r="L4" s="11" t="inlineStr">
        <is>
          <t>Chưa chạy</t>
        </is>
      </c>
      <c r="M4" s="11" t="inlineStr"/>
      <c r="N4" s="11" t="inlineStr"/>
      <c r="O4" s="11" t="inlineStr"/>
      <c r="P4" s="11" t="inlineStr"/>
    </row>
    <row r="5">
      <c r="A5" s="11" t="inlineStr">
        <is>
          <t>TC-SEC-004</t>
        </is>
      </c>
      <c r="B5" s="11" t="inlineStr">
        <is>
          <t>§6.1</t>
        </is>
      </c>
      <c r="C5" s="11" t="inlineStr">
        <is>
          <t>Phi chức năng</t>
        </is>
      </c>
      <c r="D5" s="11" t="inlineStr">
        <is>
          <t>Ứng viên không đọc được CV người khác</t>
        </is>
      </c>
      <c r="E5" s="11" t="inlineStr">
        <is>
          <t>uv1 biết link/khóa file CV của uv2</t>
        </is>
      </c>
      <c r="F5" s="11" t="inlineStr">
        <is>
          <t>–</t>
        </is>
      </c>
      <c r="G5" s="11" t="inlineStr">
        <is>
          <t>1. Gọi API lấy link CV của uv2 bằng token uv1; đoán đường dẫn file</t>
        </is>
      </c>
      <c r="H5" s="11" t="inlineStr">
        <is>
          <t>Bị từ chối / 404; file private không có URL công khai</t>
        </is>
      </c>
      <c r="I5" s="11" t="inlineStr">
        <is>
          <t>P0</t>
        </is>
      </c>
      <c r="J5" s="11" t="inlineStr">
        <is>
          <t>Bảo mật</t>
        </is>
      </c>
      <c r="K5" s="11" t="inlineStr"/>
      <c r="L5" s="11" t="inlineStr">
        <is>
          <t>Chưa chạy</t>
        </is>
      </c>
      <c r="M5" s="11" t="inlineStr"/>
      <c r="N5" s="11" t="inlineStr"/>
      <c r="O5" s="11" t="inlineStr"/>
      <c r="P5" s="11" t="inlineStr"/>
    </row>
    <row r="6">
      <c r="A6" s="11" t="inlineStr">
        <is>
          <t>TC-SEC-005</t>
        </is>
      </c>
      <c r="B6" s="11" t="inlineStr">
        <is>
          <t>§6.1</t>
        </is>
      </c>
      <c r="C6" s="11" t="inlineStr">
        <is>
          <t>Phi chức năng</t>
        </is>
      </c>
      <c r="D6" s="11" t="inlineStr">
        <is>
          <t>Link file có chữ ký bị sửa</t>
        </is>
      </c>
      <c r="E6" s="11" t="inlineStr">
        <is>
          <t>Có link CV hợp lệ</t>
        </is>
      </c>
      <c r="F6" s="11" t="inlineStr">
        <is>
          <t>Sửa 1 ký tự trong token link</t>
        </is>
      </c>
      <c r="G6" s="11" t="inlineStr">
        <is>
          <t>1. Mở link đã sửa</t>
        </is>
      </c>
      <c r="H6" s="11" t="inlineStr">
        <is>
          <t>Bị từ chối</t>
        </is>
      </c>
      <c r="I6" s="11" t="inlineStr">
        <is>
          <t>P0</t>
        </is>
      </c>
      <c r="J6" s="11" t="inlineStr">
        <is>
          <t>Bảo mật</t>
        </is>
      </c>
      <c r="K6" s="11" t="inlineStr"/>
      <c r="L6" s="11" t="inlineStr">
        <is>
          <t>Chưa chạy</t>
        </is>
      </c>
      <c r="M6" s="11" t="inlineStr"/>
      <c r="N6" s="11" t="inlineStr"/>
      <c r="O6" s="11" t="inlineStr"/>
      <c r="P6" s="11" t="inlineStr"/>
    </row>
    <row r="7">
      <c r="A7" s="11" t="inlineStr">
        <is>
          <t>TC-SEC-006</t>
        </is>
      </c>
      <c r="B7" s="11" t="inlineStr">
        <is>
          <t>§6.1</t>
        </is>
      </c>
      <c r="C7" s="11" t="inlineStr">
        <is>
          <t>Phi chức năng</t>
        </is>
      </c>
      <c r="D7" s="11" t="inlineStr">
        <is>
          <t>Chặn path traversal ở đường dẫn file</t>
        </is>
      </c>
      <c r="E7" s="11" t="inlineStr">
        <is>
          <t>–</t>
        </is>
      </c>
      <c r="F7" s="11" t="inlineStr">
        <is>
          <t>/api/files/..%2f..%2f.env</t>
        </is>
      </c>
      <c r="G7" s="11" t="inlineStr">
        <is>
          <t>1. Mở URL</t>
        </is>
      </c>
      <c r="H7" s="11" t="inlineStr">
        <is>
          <t>Trả 400/404; không lộ nội dung file hệ thống</t>
        </is>
      </c>
      <c r="I7" s="11" t="inlineStr">
        <is>
          <t>P1</t>
        </is>
      </c>
      <c r="J7" s="11" t="inlineStr">
        <is>
          <t>Bảo mật</t>
        </is>
      </c>
      <c r="K7" s="11" t="inlineStr"/>
      <c r="L7" s="11" t="inlineStr">
        <is>
          <t>Chưa chạy</t>
        </is>
      </c>
      <c r="M7" s="11" t="inlineStr"/>
      <c r="N7" s="11" t="inlineStr"/>
      <c r="O7" s="11" t="inlineStr"/>
      <c r="P7" s="11" t="inlineStr"/>
    </row>
    <row r="8">
      <c r="A8" s="11" t="inlineStr">
        <is>
          <t>TC-SEC-007</t>
        </is>
      </c>
      <c r="B8" s="11" t="inlineStr">
        <is>
          <t>§6.1</t>
        </is>
      </c>
      <c r="C8" s="11" t="inlineStr">
        <is>
          <t>Phi chức năng</t>
        </is>
      </c>
      <c r="D8" s="11" t="inlineStr">
        <is>
          <t>Input chứa SQL injection</t>
        </is>
      </c>
      <c r="E8" s="11" t="inlineStr">
        <is>
          <t>–</t>
        </is>
      </c>
      <c r="F8" s="11" t="inlineStr">
        <is>
          <t>' OR 1=1 -- ở ô đăng nhập, tìm kiếm</t>
        </is>
      </c>
      <c r="G8" s="11" t="inlineStr">
        <is>
          <t>1. Gửi dữ liệu</t>
        </is>
      </c>
      <c r="H8" s="11" t="inlineStr">
        <is>
          <t>Không lỗi 500, không đăng nhập được, không lộ dữ liệu</t>
        </is>
      </c>
      <c r="I8" s="11" t="inlineStr">
        <is>
          <t>P1</t>
        </is>
      </c>
      <c r="J8" s="11" t="inlineStr">
        <is>
          <t>Bảo mật</t>
        </is>
      </c>
      <c r="K8" s="11" t="inlineStr"/>
      <c r="L8" s="11" t="inlineStr">
        <is>
          <t>Chưa chạy</t>
        </is>
      </c>
      <c r="M8" s="11" t="inlineStr"/>
      <c r="N8" s="11" t="inlineStr"/>
      <c r="O8" s="11" t="inlineStr"/>
      <c r="P8" s="11" t="inlineStr"/>
    </row>
    <row r="9">
      <c r="A9" s="11" t="inlineStr">
        <is>
          <t>TC-SEC-008</t>
        </is>
      </c>
      <c r="B9" s="11" t="inlineStr">
        <is>
          <t>§6.1</t>
        </is>
      </c>
      <c r="C9" s="11" t="inlineStr">
        <is>
          <t>Phi chức năng</t>
        </is>
      </c>
      <c r="D9" s="11" t="inlineStr">
        <is>
          <t>Body request quá 1MB</t>
        </is>
      </c>
      <c r="E9" s="11" t="inlineStr">
        <is>
          <t>–</t>
        </is>
      </c>
      <c r="F9" s="11" t="inlineStr">
        <is>
          <t>JSON 1,5MB</t>
        </is>
      </c>
      <c r="G9" s="11" t="inlineStr">
        <is>
          <t>1. Gửi tới API bất kỳ</t>
        </is>
      </c>
      <c r="H9" s="11" t="inlineStr">
        <is>
          <t>Trả 413</t>
        </is>
      </c>
      <c r="I9" s="11" t="inlineStr">
        <is>
          <t>P1</t>
        </is>
      </c>
      <c r="J9" s="11" t="inlineStr">
        <is>
          <t>Bảo mật</t>
        </is>
      </c>
      <c r="K9" s="11" t="inlineStr"/>
      <c r="L9" s="11" t="inlineStr">
        <is>
          <t>Chưa chạy</t>
        </is>
      </c>
      <c r="M9" s="11" t="inlineStr"/>
      <c r="N9" s="11" t="inlineStr"/>
      <c r="O9" s="11" t="inlineStr"/>
      <c r="P9" s="11" t="inlineStr"/>
    </row>
    <row r="10">
      <c r="A10" s="11" t="inlineStr">
        <is>
          <t>TC-SEC-009</t>
        </is>
      </c>
      <c r="B10" s="11" t="inlineStr">
        <is>
          <t>§6.1</t>
        </is>
      </c>
      <c r="C10" s="11" t="inlineStr">
        <is>
          <t>Phi chức năng</t>
        </is>
      </c>
      <c r="D10" s="11" t="inlineStr">
        <is>
          <t>Header bảo mật (Helmet)</t>
        </is>
      </c>
      <c r="E10" s="11" t="inlineStr">
        <is>
          <t>–</t>
        </is>
      </c>
      <c r="F10" s="11" t="inlineStr">
        <is>
          <t>–</t>
        </is>
      </c>
      <c r="G10" s="11" t="inlineStr">
        <is>
          <t>1. Xem response header của API</t>
        </is>
      </c>
      <c r="H10" s="11" t="inlineStr">
        <is>
          <t>Có X-Content-Type-Options, X-Frame-Options/CSP…; không có X-Powered-By</t>
        </is>
      </c>
      <c r="I10" s="11" t="inlineStr">
        <is>
          <t>P1</t>
        </is>
      </c>
      <c r="J10" s="11" t="inlineStr">
        <is>
          <t>Bảo mật</t>
        </is>
      </c>
      <c r="K10" s="11" t="inlineStr"/>
      <c r="L10" s="11" t="inlineStr">
        <is>
          <t>Chưa chạy</t>
        </is>
      </c>
      <c r="M10" s="11" t="inlineStr"/>
      <c r="N10" s="11" t="inlineStr"/>
      <c r="O10" s="11" t="inlineStr"/>
      <c r="P10" s="11" t="inlineStr"/>
    </row>
    <row r="11">
      <c r="A11" s="11" t="inlineStr">
        <is>
          <t>TC-SEC-010</t>
        </is>
      </c>
      <c r="B11" s="11" t="inlineStr">
        <is>
          <t>§6.1</t>
        </is>
      </c>
      <c r="C11" s="11" t="inlineStr">
        <is>
          <t>Phi chức năng</t>
        </is>
      </c>
      <c r="D11" s="11" t="inlineStr">
        <is>
          <t>CORS chỉ cho domain web</t>
        </is>
      </c>
      <c r="E11" s="11" t="inlineStr">
        <is>
          <t>–</t>
        </is>
      </c>
      <c r="F11" s="11" t="inlineStr">
        <is>
          <t>Origin: https://evil.test</t>
        </is>
      </c>
      <c r="G11" s="11" t="inlineStr">
        <is>
          <t>1. Gọi API với Origin lạ (DevTools/curl)</t>
        </is>
      </c>
      <c r="H11" s="11" t="inlineStr">
        <is>
          <t>Không có header Access-Control-Allow-Origin cho origin lạ</t>
        </is>
      </c>
      <c r="I11" s="11" t="inlineStr">
        <is>
          <t>P1</t>
        </is>
      </c>
      <c r="J11" s="11" t="inlineStr">
        <is>
          <t>Bảo mật</t>
        </is>
      </c>
      <c r="K11" s="11" t="inlineStr"/>
      <c r="L11" s="11" t="inlineStr">
        <is>
          <t>Chưa chạy</t>
        </is>
      </c>
      <c r="M11" s="11" t="inlineStr"/>
      <c r="N11" s="11" t="inlineStr"/>
      <c r="O11" s="11" t="inlineStr"/>
      <c r="P11" s="11" t="inlineStr"/>
    </row>
    <row r="12">
      <c r="A12" s="11" t="inlineStr">
        <is>
          <t>TC-SEC-011</t>
        </is>
      </c>
      <c r="B12" s="11" t="inlineStr">
        <is>
          <t>§6.1</t>
        </is>
      </c>
      <c r="C12" s="11" t="inlineStr">
        <is>
          <t>Phi chức năng</t>
        </is>
      </c>
      <c r="D12" s="11" t="inlineStr">
        <is>
          <t>Rate limit chung 300 request/phút/IP</t>
        </is>
      </c>
      <c r="E12" s="11" t="inlineStr">
        <is>
          <t>–</t>
        </is>
      </c>
      <c r="F12" s="11" t="inlineStr">
        <is>
          <t>–</t>
        </is>
      </c>
      <c r="G12" s="11" t="inlineStr">
        <is>
          <t>1. Gửi 301 request trong 1 phút tới API công khai (k6/JMeter)</t>
        </is>
      </c>
      <c r="H12" s="11" t="inlineStr">
        <is>
          <t>Request vượt ngưỡng nhận 429</t>
        </is>
      </c>
      <c r="I12" s="11" t="inlineStr">
        <is>
          <t>P1</t>
        </is>
      </c>
      <c r="J12" s="11" t="inlineStr">
        <is>
          <t>Bảo mật</t>
        </is>
      </c>
      <c r="K12" s="11" t="inlineStr"/>
      <c r="L12" s="11" t="inlineStr">
        <is>
          <t>Chưa chạy</t>
        </is>
      </c>
      <c r="M12" s="11" t="inlineStr"/>
      <c r="N12" s="11" t="inlineStr"/>
      <c r="O12" s="11" t="inlineStr"/>
      <c r="P12" s="11" t="inlineStr"/>
    </row>
    <row r="13">
      <c r="A13" s="11" t="inlineStr">
        <is>
          <t>TC-SEC-012</t>
        </is>
      </c>
      <c r="B13" s="11" t="inlineStr">
        <is>
          <t>§6.1</t>
        </is>
      </c>
      <c r="C13" s="11" t="inlineStr">
        <is>
          <t>Phi chức năng</t>
        </is>
      </c>
      <c r="D13" s="11" t="inlineStr">
        <is>
          <t>Lỗi 5xx không lộ chi tiết kỹ thuật</t>
        </is>
      </c>
      <c r="E13" s="11" t="inlineStr">
        <is>
          <t>–</t>
        </is>
      </c>
      <c r="F13" s="11" t="inlineStr">
        <is>
          <t>Tạo lỗi máy chủ (vd. tắt DB)</t>
        </is>
      </c>
      <c r="G13" s="11" t="inlineStr">
        <is>
          <t>1. Gọi API</t>
        </is>
      </c>
      <c r="H13" s="11" t="inlineStr">
        <is>
          <t>Thông báo lỗi chung, có X-Request-Id; không lộ stack trace / câu SQL</t>
        </is>
      </c>
      <c r="I13" s="11" t="inlineStr">
        <is>
          <t>P1</t>
        </is>
      </c>
      <c r="J13" s="11" t="inlineStr">
        <is>
          <t>Bảo mật</t>
        </is>
      </c>
      <c r="K13" s="11" t="inlineStr"/>
      <c r="L13" s="11" t="inlineStr">
        <is>
          <t>Chưa chạy</t>
        </is>
      </c>
      <c r="M13" s="11" t="inlineStr"/>
      <c r="N13" s="11" t="inlineStr"/>
      <c r="O13" s="11" t="inlineStr"/>
      <c r="P13" s="11" t="inlineStr"/>
    </row>
    <row r="14">
      <c r="A14" s="11" t="inlineStr">
        <is>
          <t>TC-SEC-013</t>
        </is>
      </c>
      <c r="B14" s="11" t="inlineStr">
        <is>
          <t>§6.1</t>
        </is>
      </c>
      <c r="C14" s="11" t="inlineStr">
        <is>
          <t>Phi chức năng</t>
        </is>
      </c>
      <c r="D14" s="11" t="inlineStr">
        <is>
          <t>Swagger tắt ở production</t>
        </is>
      </c>
      <c r="E14" s="11" t="inlineStr">
        <is>
          <t>Bản build production</t>
        </is>
      </c>
      <c r="F14" s="11" t="inlineStr">
        <is>
          <t>–</t>
        </is>
      </c>
      <c r="G14" s="11" t="inlineStr">
        <is>
          <t>1. Mở /api/docs</t>
        </is>
      </c>
      <c r="H14" s="11" t="inlineStr">
        <is>
          <t>Không truy cập được</t>
        </is>
      </c>
      <c r="I14" s="11" t="inlineStr">
        <is>
          <t>P2</t>
        </is>
      </c>
      <c r="J14" s="11" t="inlineStr">
        <is>
          <t>Bảo mật</t>
        </is>
      </c>
      <c r="K14" s="11" t="inlineStr"/>
      <c r="L14" s="11" t="inlineStr">
        <is>
          <t>Chưa chạy</t>
        </is>
      </c>
      <c r="M14" s="11" t="inlineStr"/>
      <c r="N14" s="11" t="inlineStr"/>
      <c r="O14" s="11" t="inlineStr"/>
      <c r="P14" s="11" t="inlineStr"/>
    </row>
    <row r="15">
      <c r="A15" s="11" t="inlineStr">
        <is>
          <t>TC-PERF-001</t>
        </is>
      </c>
      <c r="B15" s="11" t="inlineStr">
        <is>
          <t>§6.2</t>
        </is>
      </c>
      <c r="C15" s="11" t="inlineStr">
        <is>
          <t>Phi chức năng</t>
        </is>
      </c>
      <c r="D15" s="11" t="inlineStr">
        <is>
          <t>Tìm việc p95 &lt; 500ms với 50.000 tin</t>
        </is>
      </c>
      <c r="E15" s="11" t="inlineStr">
        <is>
          <t>DB có 50.000 tin (script sinh dữ liệu)</t>
        </is>
      </c>
      <c r="F15" s="11" t="inlineStr">
        <is>
          <t>Từ khóa + bộ lọc ngẫu nhiên</t>
        </is>
      </c>
      <c r="G15" s="11" t="inlineStr">
        <is>
          <t>1. Chạy k6 20 người dùng ảo trong 5 phút</t>
        </is>
      </c>
      <c r="H15" s="11" t="inlineStr">
        <is>
          <t>p95 thời gian phản hồi &lt; 500ms; không có lỗi</t>
        </is>
      </c>
      <c r="I15" s="11" t="inlineStr">
        <is>
          <t>P1</t>
        </is>
      </c>
      <c r="J15" s="11" t="inlineStr">
        <is>
          <t>Hiệu năng</t>
        </is>
      </c>
      <c r="K15" s="11" t="inlineStr"/>
      <c r="L15" s="11" t="inlineStr">
        <is>
          <t>Chưa chạy</t>
        </is>
      </c>
      <c r="M15" s="11" t="inlineStr"/>
      <c r="N15" s="11" t="inlineStr"/>
      <c r="O15" s="11" t="inlineStr"/>
      <c r="P15" s="11" t="inlineStr"/>
    </row>
    <row r="16">
      <c r="A16" s="11" t="inlineStr">
        <is>
          <t>TC-PERF-002</t>
        </is>
      </c>
      <c r="B16" s="11" t="inlineStr">
        <is>
          <t>§6.2</t>
        </is>
      </c>
      <c r="C16" s="11" t="inlineStr">
        <is>
          <t>Phi chức năng</t>
        </is>
      </c>
      <c r="D16" s="11" t="inlineStr">
        <is>
          <t>LCP trang chủ / danh sách &lt; 2,5s trên 4G</t>
        </is>
      </c>
      <c r="E16" s="11" t="inlineStr">
        <is>
          <t>Bản build production</t>
        </is>
      </c>
      <c r="F16" s="11" t="inlineStr">
        <is>
          <t>–</t>
        </is>
      </c>
      <c r="G16" s="11" t="inlineStr">
        <is>
          <t>1. Chạy Lighthouse (mobile, Slow 4G)</t>
        </is>
      </c>
      <c r="H16" s="11" t="inlineStr">
        <is>
          <t>LCP &lt; 2,5 giây</t>
        </is>
      </c>
      <c r="I16" s="11" t="inlineStr">
        <is>
          <t>P2</t>
        </is>
      </c>
      <c r="J16" s="11" t="inlineStr">
        <is>
          <t>Hiệu năng</t>
        </is>
      </c>
      <c r="K16" s="11" t="inlineStr"/>
      <c r="L16" s="11" t="inlineStr">
        <is>
          <t>Chưa chạy</t>
        </is>
      </c>
      <c r="M16" s="11" t="inlineStr"/>
      <c r="N16" s="11" t="inlineStr"/>
      <c r="O16" s="11" t="inlineStr"/>
      <c r="P16" s="11" t="inlineStr"/>
    </row>
    <row r="17">
      <c r="A17" s="11" t="inlineStr">
        <is>
          <t>TC-PERF-003</t>
        </is>
      </c>
      <c r="B17" s="11" t="inlineStr">
        <is>
          <t>§6.2</t>
        </is>
      </c>
      <c r="C17" s="11" t="inlineStr">
        <is>
          <t>Phi chức năng</t>
        </is>
      </c>
      <c r="D17" s="11" t="inlineStr">
        <is>
          <t>Phân trang tối đa 50 bản ghi</t>
        </is>
      </c>
      <c r="E17" s="11" t="inlineStr">
        <is>
          <t>–</t>
        </is>
      </c>
      <c r="F17" s="11" t="inlineStr">
        <is>
          <t>pageSize=1000</t>
        </is>
      </c>
      <c r="G17" s="11" t="inlineStr">
        <is>
          <t>1. Gọi API danh sách với pageSize lớn</t>
        </is>
      </c>
      <c r="H17" s="11" t="inlineStr">
        <is>
          <t>Trả tối đa 50 bản ghi hoặc báo lỗi tham số</t>
        </is>
      </c>
      <c r="I17" s="11" t="inlineStr">
        <is>
          <t>P2</t>
        </is>
      </c>
      <c r="J17" s="11" t="inlineStr">
        <is>
          <t>Hiệu năng</t>
        </is>
      </c>
      <c r="K17" s="11" t="inlineStr"/>
      <c r="L17" s="11" t="inlineStr">
        <is>
          <t>Chưa chạy</t>
        </is>
      </c>
      <c r="M17" s="11" t="inlineStr"/>
      <c r="N17" s="11" t="inlineStr"/>
      <c r="O17" s="11" t="inlineStr"/>
      <c r="P17" s="11" t="inlineStr"/>
    </row>
    <row r="18">
      <c r="A18" s="11" t="inlineStr">
        <is>
          <t>TC-REL-001</t>
        </is>
      </c>
      <c r="B18" s="11" t="inlineStr">
        <is>
          <t>§6.3</t>
        </is>
      </c>
      <c r="C18" s="11" t="inlineStr">
        <is>
          <t>Phi chức năng</t>
        </is>
      </c>
      <c r="D18" s="11" t="inlineStr">
        <is>
          <t>Mỗi response có X-Request-Id</t>
        </is>
      </c>
      <c r="E18" s="11" t="inlineStr">
        <is>
          <t>–</t>
        </is>
      </c>
      <c r="F18" s="11" t="inlineStr">
        <is>
          <t>–</t>
        </is>
      </c>
      <c r="G18" s="11" t="inlineStr">
        <is>
          <t>1. Gọi API bất kỳ, xem header</t>
        </is>
      </c>
      <c r="H18" s="11" t="inlineStr">
        <is>
          <t>Có X-Request-Id; trùng với log của API</t>
        </is>
      </c>
      <c r="I18" s="11" t="inlineStr">
        <is>
          <t>P1</t>
        </is>
      </c>
      <c r="J18" s="11" t="inlineStr">
        <is>
          <t>Chức năng</t>
        </is>
      </c>
      <c r="K18" s="11" t="inlineStr"/>
      <c r="L18" s="11" t="inlineStr">
        <is>
          <t>Chưa chạy</t>
        </is>
      </c>
      <c r="M18" s="11" t="inlineStr"/>
      <c r="N18" s="11" t="inlineStr"/>
      <c r="O18" s="11" t="inlineStr"/>
      <c r="P18" s="11" t="inlineStr"/>
    </row>
    <row r="19">
      <c r="A19" s="11" t="inlineStr">
        <is>
          <t>TC-REL-002</t>
        </is>
      </c>
      <c r="B19" s="11" t="inlineStr">
        <is>
          <t>§6.3</t>
        </is>
      </c>
      <c r="C19" s="11" t="inlineStr">
        <is>
          <t>Phi chức năng</t>
        </is>
      </c>
      <c r="D19" s="11" t="inlineStr">
        <is>
          <t>Email lỗi được gửi lại tự động</t>
        </is>
      </c>
      <c r="E19" s="11" t="inlineStr">
        <is>
          <t>Cấu hình SMTP sai</t>
        </is>
      </c>
      <c r="F19" s="11" t="inlineStr">
        <is>
          <t>–</t>
        </is>
      </c>
      <c r="G19" s="11" t="inlineStr">
        <is>
          <t>1. Tạo hành động gửi email
2. Xem /admin/emails
3. Sửa SMTP đúng</t>
        </is>
      </c>
      <c r="H19" s="11" t="inlineStr">
        <is>
          <t>Email ở trạng thái lỗi, thử lại theo lịch; sau khi sửa SMTP được gửi thành công</t>
        </is>
      </c>
      <c r="I19" s="11" t="inlineStr">
        <is>
          <t>P1</t>
        </is>
      </c>
      <c r="J19" s="11" t="inlineStr">
        <is>
          <t>Chức năng</t>
        </is>
      </c>
      <c r="K19" s="11" t="inlineStr"/>
      <c r="L19" s="11" t="inlineStr">
        <is>
          <t>Chưa chạy</t>
        </is>
      </c>
      <c r="M19" s="11" t="inlineStr"/>
      <c r="N19" s="11" t="inlineStr"/>
      <c r="O19" s="11" t="inlineStr"/>
      <c r="P19" s="11" t="inlineStr"/>
    </row>
    <row r="20">
      <c r="A20" s="11" t="inlineStr">
        <is>
          <t>TC-REL-003</t>
        </is>
      </c>
      <c r="B20" s="11" t="inlineStr">
        <is>
          <t>§6.3</t>
        </is>
      </c>
      <c r="C20" s="11" t="inlineStr">
        <is>
          <t>Phi chức năng</t>
        </is>
      </c>
      <c r="D20" s="11" t="inlineStr">
        <is>
          <t>Sao lưu và khôi phục</t>
        </is>
      </c>
      <c r="E20" s="11" t="inlineStr">
        <is>
          <t>Đã cấu hình script backup</t>
        </is>
      </c>
      <c r="F20" s="11" t="inlineStr">
        <is>
          <t>–</t>
        </is>
      </c>
      <c r="G20" s="11" t="inlineStr">
        <is>
          <t>1. Chạy backup
2. Khôi phục vào DB thử</t>
        </is>
      </c>
      <c r="H20" s="11" t="inlineStr">
        <is>
          <t>File backup hợp lệ (RESTORE VERIFYONLY); khôi phục đủ dữ liệu</t>
        </is>
      </c>
      <c r="I20" s="11" t="inlineStr">
        <is>
          <t>P2</t>
        </is>
      </c>
      <c r="J20" s="11" t="inlineStr">
        <is>
          <t>Chức năng</t>
        </is>
      </c>
      <c r="K20" s="11" t="inlineStr"/>
      <c r="L20" s="11" t="inlineStr">
        <is>
          <t>Chưa chạy</t>
        </is>
      </c>
      <c r="M20" s="11" t="inlineStr"/>
      <c r="N20" s="11" t="inlineStr"/>
      <c r="O20" s="11" t="inlineStr"/>
      <c r="P20" s="11" t="inlineStr"/>
    </row>
    <row r="21">
      <c r="A21" s="11" t="inlineStr">
        <is>
          <t>TC-UI-001</t>
        </is>
      </c>
      <c r="B21" s="11" t="inlineStr">
        <is>
          <t>§6.4</t>
        </is>
      </c>
      <c r="C21" s="11" t="inlineStr">
        <is>
          <t>Phi chức năng</t>
        </is>
      </c>
      <c r="D21" s="11" t="inlineStr">
        <is>
          <t>Responsive ở 360px</t>
        </is>
      </c>
      <c r="E21" s="11" t="inlineStr">
        <is>
          <t>–</t>
        </is>
      </c>
      <c r="F21" s="11" t="inlineStr">
        <is>
          <t>Chrome DevTools 360×740</t>
        </is>
      </c>
      <c r="G21" s="11" t="inlineStr">
        <is>
          <t>1. Duyệt trang chủ, danh sách tin, chi tiết tin, ứng tuyển, trang NTD, trang admin</t>
        </is>
      </c>
      <c r="H21" s="11" t="inlineStr">
        <is>
          <t>Không tràn ngang trang; menu mobile hoạt động; bảng cuộn ngang; modal dạng bottom-sheet</t>
        </is>
      </c>
      <c r="I21" s="11" t="inlineStr">
        <is>
          <t>P1</t>
        </is>
      </c>
      <c r="J21" s="11" t="inlineStr">
        <is>
          <t>UI</t>
        </is>
      </c>
      <c r="K21" s="11" t="inlineStr"/>
      <c r="L21" s="11" t="inlineStr">
        <is>
          <t>Chưa chạy</t>
        </is>
      </c>
      <c r="M21" s="11" t="inlineStr"/>
      <c r="N21" s="11" t="inlineStr"/>
      <c r="O21" s="11" t="inlineStr"/>
      <c r="P21" s="11" t="inlineStr"/>
    </row>
    <row r="22">
      <c r="A22" s="11" t="inlineStr">
        <is>
          <t>TC-UI-002</t>
        </is>
      </c>
      <c r="B22" s="11" t="inlineStr">
        <is>
          <t>§6.4</t>
        </is>
      </c>
      <c r="C22" s="11" t="inlineStr">
        <is>
          <t>Phi chức năng</t>
        </is>
      </c>
      <c r="D22" s="11" t="inlineStr">
        <is>
          <t>Trạng thái có nhãn chữ</t>
        </is>
      </c>
      <c r="E22" s="11" t="inlineStr">
        <is>
          <t>–</t>
        </is>
      </c>
      <c r="F22" s="11" t="inlineStr">
        <is>
          <t>–</t>
        </is>
      </c>
      <c r="G22" s="11" t="inlineStr">
        <is>
          <t>1. Xem các badge trạng thái tin, đơn, công ty</t>
        </is>
      </c>
      <c r="H22" s="11" t="inlineStr">
        <is>
          <t>Mỗi trạng thái có chữ, không chỉ màu</t>
        </is>
      </c>
      <c r="I22" s="11" t="inlineStr">
        <is>
          <t>P1</t>
        </is>
      </c>
      <c r="J22" s="11" t="inlineStr">
        <is>
          <t>UI</t>
        </is>
      </c>
      <c r="K22" s="11" t="inlineStr"/>
      <c r="L22" s="11" t="inlineStr">
        <is>
          <t>Chưa chạy</t>
        </is>
      </c>
      <c r="M22" s="11" t="inlineStr"/>
      <c r="N22" s="11" t="inlineStr"/>
      <c r="O22" s="11" t="inlineStr"/>
      <c r="P22" s="11" t="inlineStr"/>
    </row>
    <row r="23">
      <c r="A23" s="11" t="inlineStr">
        <is>
          <t>TC-UI-003</t>
        </is>
      </c>
      <c r="B23" s="11" t="inlineStr">
        <is>
          <t>§6.4</t>
        </is>
      </c>
      <c r="C23" s="11" t="inlineStr">
        <is>
          <t>Phi chức năng</t>
        </is>
      </c>
      <c r="D23" s="11" t="inlineStr">
        <is>
          <t>Skeleton, empty state và toast</t>
        </is>
      </c>
      <c r="E23" s="11" t="inlineStr">
        <is>
          <t>–</t>
        </is>
      </c>
      <c r="F23" s="11" t="inlineStr">
        <is>
          <t>Mạng Slow 3G</t>
        </is>
      </c>
      <c r="G23" s="11" t="inlineStr">
        <is>
          <t>1. Mở trang danh sách khi mạng chậm
2. Mở trang không có dữ liệu
3. Lưu một form</t>
        </is>
      </c>
      <c r="H23" s="11" t="inlineStr">
        <is>
          <t>Có skeleton khi tải; empty state có gợi ý; toast khi thành công</t>
        </is>
      </c>
      <c r="I23" s="11" t="inlineStr">
        <is>
          <t>P2</t>
        </is>
      </c>
      <c r="J23" s="11" t="inlineStr">
        <is>
          <t>UI</t>
        </is>
      </c>
      <c r="K23" s="11" t="inlineStr"/>
      <c r="L23" s="11" t="inlineStr">
        <is>
          <t>Chưa chạy</t>
        </is>
      </c>
      <c r="M23" s="11" t="inlineStr"/>
      <c r="N23" s="11" t="inlineStr"/>
      <c r="O23" s="11" t="inlineStr"/>
      <c r="P23" s="11" t="inlineStr"/>
    </row>
    <row r="24">
      <c r="A24" s="11" t="inlineStr">
        <is>
          <t>TC-UI-004</t>
        </is>
      </c>
      <c r="B24" s="11" t="inlineStr">
        <is>
          <t>§6.4</t>
        </is>
      </c>
      <c r="C24" s="11" t="inlineStr">
        <is>
          <t>Phi chức năng</t>
        </is>
      </c>
      <c r="D24" s="11" t="inlineStr">
        <is>
          <t>Lỗi form hiện tại từng ô, khớp API</t>
        </is>
      </c>
      <c r="E24" s="11" t="inlineStr">
        <is>
          <t>–</t>
        </is>
      </c>
      <c r="F24" s="11" t="inlineStr">
        <is>
          <t>Dữ liệu sai</t>
        </is>
      </c>
      <c r="G24" s="11" t="inlineStr">
        <is>
          <t>1. Gửi form sai ở đăng ký, hồ sơ, đăng tin</t>
        </is>
      </c>
      <c r="H24" s="11" t="inlineStr">
        <is>
          <t>Lỗi hiện dưới từng ô, cùng quy tắc với API</t>
        </is>
      </c>
      <c r="I24" s="11" t="inlineStr">
        <is>
          <t>P1</t>
        </is>
      </c>
      <c r="J24" s="11" t="inlineStr">
        <is>
          <t>UI</t>
        </is>
      </c>
      <c r="K24" s="11" t="inlineStr"/>
      <c r="L24" s="11" t="inlineStr">
        <is>
          <t>Chưa chạy</t>
        </is>
      </c>
      <c r="M24" s="11" t="inlineStr"/>
      <c r="N24" s="11" t="inlineStr"/>
      <c r="O24" s="11" t="inlineStr"/>
      <c r="P24" s="11" t="inlineStr"/>
    </row>
    <row r="25">
      <c r="A25" s="11" t="inlineStr">
        <is>
          <t>TC-UI-005</t>
        </is>
      </c>
      <c r="B25" s="11" t="inlineStr">
        <is>
          <t>§6.4</t>
        </is>
      </c>
      <c r="C25" s="11" t="inlineStr">
        <is>
          <t>Phi chức năng</t>
        </is>
      </c>
      <c r="D25" s="11" t="inlineStr">
        <is>
          <t>Điều hướng bằng bàn phím</t>
        </is>
      </c>
      <c r="E25" s="11" t="inlineStr">
        <is>
          <t>–</t>
        </is>
      </c>
      <c r="F25" s="11" t="inlineStr">
        <is>
          <t>–</t>
        </is>
      </c>
      <c r="G25" s="11" t="inlineStr">
        <is>
          <t>1. Dùng Tab từ đầu trang</t>
        </is>
      </c>
      <c r="H25" s="11" t="inlineStr">
        <is>
          <t>Có liên kết "Bỏ qua tới nội dung"; focus nhìn thấy được; nút biểu tượng có nhãn ARIA</t>
        </is>
      </c>
      <c r="I25" s="11" t="inlineStr">
        <is>
          <t>P2</t>
        </is>
      </c>
      <c r="J25" s="11" t="inlineStr">
        <is>
          <t>UI</t>
        </is>
      </c>
      <c r="K25" s="11" t="inlineStr"/>
      <c r="L25" s="11" t="inlineStr">
        <is>
          <t>Chưa chạy</t>
        </is>
      </c>
      <c r="M25" s="11" t="inlineStr"/>
      <c r="N25" s="11" t="inlineStr"/>
      <c r="O25" s="11" t="inlineStr"/>
      <c r="P25" s="11" t="inlineStr"/>
    </row>
    <row r="26">
      <c r="A26" s="11" t="inlineStr">
        <is>
          <t>TC-UI-006</t>
        </is>
      </c>
      <c r="B26" s="11" t="inlineStr">
        <is>
          <t>§6.4</t>
        </is>
      </c>
      <c r="C26" s="11" t="inlineStr">
        <is>
          <t>Phi chức năng</t>
        </is>
      </c>
      <c r="D26" s="11" t="inlineStr">
        <is>
          <t>Trang 404 và 403</t>
        </is>
      </c>
      <c r="E26" s="11" t="inlineStr">
        <is>
          <t>–</t>
        </is>
      </c>
      <c r="F26" s="11" t="inlineStr">
        <is>
          <t>/khong-ton-tai; uv1 mở /admin</t>
        </is>
      </c>
      <c r="G26" s="11" t="inlineStr">
        <is>
          <t>1. Mở URL</t>
        </is>
      </c>
      <c r="H26" s="11" t="inlineStr">
        <is>
          <t>Hiện trang 404 / 403 thân thiện, có link về trang chủ</t>
        </is>
      </c>
      <c r="I26" s="11" t="inlineStr">
        <is>
          <t>P2</t>
        </is>
      </c>
      <c r="J26" s="11" t="inlineStr">
        <is>
          <t>UI</t>
        </is>
      </c>
      <c r="K26" s="11" t="inlineStr"/>
      <c r="L26" s="11" t="inlineStr">
        <is>
          <t>Chưa chạy</t>
        </is>
      </c>
      <c r="M26" s="11" t="inlineStr"/>
      <c r="N26" s="11" t="inlineStr"/>
      <c r="O26" s="11" t="inlineStr"/>
      <c r="P26" s="11" t="inlineStr"/>
    </row>
    <row r="27">
      <c r="A27" s="11" t="inlineStr">
        <is>
          <t>TC-SEO-001</t>
        </is>
      </c>
      <c r="B27" s="11" t="inlineStr">
        <is>
          <t>§6.5</t>
        </is>
      </c>
      <c r="C27" s="11" t="inlineStr">
        <is>
          <t>Phi chức năng</t>
        </is>
      </c>
      <c r="D27" s="11" t="inlineStr">
        <is>
          <t>Title/description riêng mỗi trang</t>
        </is>
      </c>
      <c r="E27" s="11" t="inlineStr">
        <is>
          <t>–</t>
        </is>
      </c>
      <c r="F27" s="11" t="inlineStr">
        <is>
          <t>–</t>
        </is>
      </c>
      <c r="G27" s="11" t="inlineStr">
        <is>
          <t>1. Mở trang chủ, danh sách tin, chi tiết tin, trang công ty; xem &lt;title&gt; và meta</t>
        </is>
      </c>
      <c r="H27" s="11" t="inlineStr">
        <is>
          <t>Mỗi trang có title/description phù hợp nội dung</t>
        </is>
      </c>
      <c r="I27" s="11" t="inlineStr">
        <is>
          <t>P2</t>
        </is>
      </c>
      <c r="J27" s="11" t="inlineStr">
        <is>
          <t>SEO</t>
        </is>
      </c>
      <c r="K27" s="11" t="inlineStr"/>
      <c r="L27" s="11" t="inlineStr">
        <is>
          <t>Chưa chạy</t>
        </is>
      </c>
      <c r="M27" s="11" t="inlineStr"/>
      <c r="N27" s="11" t="inlineStr"/>
      <c r="O27" s="11" t="inlineStr"/>
      <c r="P27" s="11" t="inlineStr"/>
    </row>
    <row r="28">
      <c r="A28" s="11" t="inlineStr">
        <is>
          <t>TC-SEO-002</t>
        </is>
      </c>
      <c r="B28" s="11" t="inlineStr">
        <is>
          <t>§6.5</t>
        </is>
      </c>
      <c r="C28" s="11" t="inlineStr">
        <is>
          <t>Phi chức năng</t>
        </is>
      </c>
      <c r="D28" s="11" t="inlineStr">
        <is>
          <t>JobPosting schema</t>
        </is>
      </c>
      <c r="E28" s="11" t="inlineStr">
        <is>
          <t>Có tin đang hiển thị</t>
        </is>
      </c>
      <c r="F28" s="11" t="inlineStr">
        <is>
          <t>–</t>
        </is>
      </c>
      <c r="G28" s="11" t="inlineStr">
        <is>
          <t>1. Mở chi tiết tin
2. Kiểm tra bằng Rich Results Test hoặc xem JSON-LD</t>
        </is>
      </c>
      <c r="H28" s="11" t="inlineStr">
        <is>
          <t>Có JSON-LD JobPosting hợp lệ</t>
        </is>
      </c>
      <c r="I28" s="11" t="inlineStr">
        <is>
          <t>P2</t>
        </is>
      </c>
      <c r="J28" s="11" t="inlineStr">
        <is>
          <t>SEO</t>
        </is>
      </c>
      <c r="K28" s="11" t="inlineStr"/>
      <c r="L28" s="11" t="inlineStr">
        <is>
          <t>Chưa chạy</t>
        </is>
      </c>
      <c r="M28" s="11" t="inlineStr"/>
      <c r="N28" s="11" t="inlineStr"/>
      <c r="O28" s="11" t="inlineStr"/>
      <c r="P28" s="11" t="inlineStr"/>
    </row>
    <row r="29">
      <c r="A29" s="11" t="inlineStr">
        <is>
          <t>TC-SEO-003</t>
        </is>
      </c>
      <c r="B29" s="11" t="inlineStr">
        <is>
          <t>§6.5</t>
        </is>
      </c>
      <c r="C29" s="11" t="inlineStr">
        <is>
          <t>Phi chức năng</t>
        </is>
      </c>
      <c r="D29" s="11" t="inlineStr">
        <is>
          <t>sitemap.xml và robots.txt</t>
        </is>
      </c>
      <c r="E29" s="11" t="inlineStr">
        <is>
          <t>–</t>
        </is>
      </c>
      <c r="F29" s="11" t="inlineStr">
        <is>
          <t>–</t>
        </is>
      </c>
      <c r="G29" s="11" t="inlineStr">
        <is>
          <t>1. Mở /api/sitemap.xml và /robots.txt</t>
        </is>
      </c>
      <c r="H29" s="11" t="inlineStr">
        <is>
          <t>sitemap có tin đang hiển thị, công ty, trang tĩnh; robots chặn /candidate, /employer, /admin, /account, /notifications</t>
        </is>
      </c>
      <c r="I29" s="11" t="inlineStr">
        <is>
          <t>P2</t>
        </is>
      </c>
      <c r="J29" s="11" t="inlineStr">
        <is>
          <t>SEO</t>
        </is>
      </c>
      <c r="K29" s="11" t="inlineStr"/>
      <c r="L29" s="11" t="inlineStr">
        <is>
          <t>Chưa chạy</t>
        </is>
      </c>
      <c r="M29" s="11" t="inlineStr"/>
      <c r="N29" s="11" t="inlineStr"/>
      <c r="O29" s="11" t="inlineStr"/>
      <c r="P29" s="11" t="inlineStr"/>
    </row>
    <row r="30">
      <c r="A30" s="11" t="inlineStr">
        <is>
          <t>TC-COMP-001</t>
        </is>
      </c>
      <c r="B30" s="11" t="inlineStr">
        <is>
          <t>§6.6</t>
        </is>
      </c>
      <c r="C30" s="11" t="inlineStr">
        <is>
          <t>Phi chức năng</t>
        </is>
      </c>
      <c r="D30" s="11" t="inlineStr">
        <is>
          <t>Luồng chính trên các trình duyệt</t>
        </is>
      </c>
      <c r="E30" s="11" t="inlineStr">
        <is>
          <t>–</t>
        </is>
      </c>
      <c r="F30" s="11" t="inlineStr">
        <is>
          <t>Chrome, Edge, Firefox, Safari mới nhất; iOS Safari; Android Chrome</t>
        </is>
      </c>
      <c r="G30" s="11" t="inlineStr">
        <is>
          <t>1. Chạy smoke test trên từng trình duyệt</t>
        </is>
      </c>
      <c r="H30" s="11" t="inlineStr">
        <is>
          <t>Hoạt động đúng, không vỡ giao diện</t>
        </is>
      </c>
      <c r="I30" s="11" t="inlineStr">
        <is>
          <t>P1</t>
        </is>
      </c>
      <c r="J30" s="11" t="inlineStr">
        <is>
          <t>Tương thích</t>
        </is>
      </c>
      <c r="K30" s="11" t="inlineStr"/>
      <c r="L30" s="11" t="inlineStr">
        <is>
          <t>Chưa chạy</t>
        </is>
      </c>
      <c r="M30" s="11" t="inlineStr"/>
      <c r="N30" s="11" t="inlineStr"/>
      <c r="O30" s="11" t="inlineStr"/>
      <c r="P30" s="11" t="inlineStr"/>
    </row>
  </sheetData>
  <autoFilter ref="A1:P30"/>
  <conditionalFormatting sqref="L2:L3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"Skip"</formula>
    </cfRule>
  </conditionalFormatting>
  <dataValidations count="1">
    <dataValidation sqref="L2:L30" showDropDown="0" showInputMessage="0" showErrorMessage="0" allowBlank="1" type="list">
      <formula1>"Chưa chạy,Pass,Fail,Blocked,Skip"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2026-10-08T06:32:14Z</dcterms:created>
  <dcterms:modified xmlns:dcterms="http://purl.org/dc/terms/" xmlns:xsi="http://www.w3.org/2001/XMLSchema-instance" xsi:type="dcterms:W3CDTF">2026-10-08T06:32:14Z</dcterms:modified>
</cp:coreProperties>
</file>