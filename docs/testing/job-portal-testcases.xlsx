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<sst xmlns="http://schemas.openxmlformats.org/spreadsheetml/2006/main" count="5975" uniqueCount="2624">
  <si>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</si>
  <si>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</si>
  <si>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</si>
  <si>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</si>
  <si>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</si>
  <si>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</si>
  <si>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</si>
  <si>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</si>
  <si>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</si>
  <si>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</si>
  <si>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</si>
  <si>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</si>
  <si>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</si>
  <si>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</si>
  <si>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</si>
  <si>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</si>
  <si>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</si>
  <si>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</si>
  <si>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</si>
  <si>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</si>
  <si>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</si>
  <si>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</si>
  <si>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</si>
  <si>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</si>
  <si>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</si>
  <si>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</si>
  <si>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</si>
  <si>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</si>
  <si>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</si>
  <si>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</si>
  <si>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</si>
  <si>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</si>
  <si>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</si>
  <si>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</si>
  <si>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</si>
  <si>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</si>
  <si>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</si>
  <si>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</si>
  <si>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</si>
  <si>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</si>
  <si>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</si>
  <si>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</si>
  <si>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</si>
  <si>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</si>
  <si>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</si>
  <si>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</si>
  <si>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</si>
  <si>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</si>
  <si>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</si>
  <si>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</si>
  <si>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</si>
  <si>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</si>
  <si>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</si>
  <si>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</si>
  <si>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</si>
  <si>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</si>
  <si>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</si>
  <si>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</si>
  <si>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</si>
  <si>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</si>
  <si>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</si>
  <si>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</si>
  <si>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</si>
  <si>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</si>
  <si>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</si>
  <si>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</si>
  <si>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</si>
  <si>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</si>
  <si>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</si>
  <si>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</si>
  <si>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</si>
  <si>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</si>
  <si>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</si>
  <si>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</si>
  <si>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</si>
  <si>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</si>
  <si>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</si>
  <si>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</si>
  <si>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</si>
  <si>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</si>
  <si>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</si>
  <si>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</si>
  <si>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</si>
  <si>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</si>
  <si>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</si>
  <si>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</si>
  <si>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</si>
  <si>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</si>
  <si>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</si>
  <si>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</si>
  <si>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</si>
  <si>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</si>
  <si>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</si>
  <si>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</si>
  <si>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</si>
  <si>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</si>
  <si>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</si>
  <si>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</si>
  <si>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</si>
  <si>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</si>
  <si>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</si>
  <si>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</si>
  <si>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</si>
  <si>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</si>
  <si>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</si>
  <si>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</si>
  <si>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</si>
  <si>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</si>
  <si>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</si>
  <si>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</si>
  <si>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</si>
  <si>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</si>
  <si>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</si>
  <si>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</si>
  <si>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</si>
  <si>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</si>
  <si>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</si>
  <si>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</si>
  <si>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</si>
  <si>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</si>
  <si>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</si>
  <si>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</si>
  <si>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</si>
  <si>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</si>
  <si>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</si>
  <si>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</si>
  <si>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</si>
  <si>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</si>
  <si>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</si>
  <si>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</si>
  <si>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</si>
  <si>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</si>
  <si>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</si>
  <si>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</si>
  <si>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</si>
  <si>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</si>
  <si>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</si>
  <si>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</si>
  <si>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</si>
  <si>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</si>
  <si>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</si>
  <si>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</si>
  <si>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</si>
  <si>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</si>
  <si>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</si>
  <si>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</si>
  <si>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</si>
  <si>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</si>
  <si>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</si>
  <si>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</si>
  <si>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</si>
  <si>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</si>
  <si>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</si>
  <si>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</si>
  <si>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</si>
  <si>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</si>
  <si>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</si>
  <si>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</si>
  <si>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</si>
  <si>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</si>
  <si>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</si>
  <si>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</si>
  <si>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</si>
  <si>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</si>
  <si>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</si>
  <si>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</si>
  <si>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</si>
  <si>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</si>
  <si>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</si>
  <si>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</si>
  <si>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</si>
  <si>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</si>
  <si>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</si>
  <si>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</si>
  <si>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</si>
  <si>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</si>
  <si>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</si>
  <si>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</si>
  <si>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</si>
  <si>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</si>
  <si>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</si>
  <si>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</si>
  <si>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</si>
  <si>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</si>
  <si>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</si>
  <si>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</si>
  <si>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</si>
  <si>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</si>
  <si>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</si>
  <si>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</si>
  <si>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</si>
  <si>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</si>
  <si>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</si>
  <si>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</si>
  <si>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</si>
  <si>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</si>
  <si>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</si>
  <si>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</si>
  <si>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</si>
  <si>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</si>
  <si>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</si>
  <si>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</si>
  <si>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</si>
  <si>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</si>
  <si>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</si>
  <si>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</si>
  <si>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</si>
  <si>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</si>
  <si>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</si>
  <si>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</si>
  <si>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</si>
  <si>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</si>
  <si>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</si>
  <si>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</si>
  <si>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</si>
  <si>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</si>
  <si>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</si>
  <si>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</si>
  <si>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</si>
  <si>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</si>
  <si>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</si>
  <si>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</si>
  <si>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</si>
  <si>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</si>
  <si>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</si>
  <si>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</si>
  <si>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</si>
  <si>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</si>
  <si>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</si>
  <si>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</si>
  <si>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</si>
  <si>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</si>
  <si>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</si>
  <si>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</si>
  <si>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</si>
  <si>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</si>
  <si>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</si>
  <si>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</si>
  <si>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</si>
  <si>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</si>
  <si>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</si>
  <si>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</si>
  <si>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</si>
  <si>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</si>
  <si>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</si>
  <si>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</si>
  <si>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</si>
  <si>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</si>
  <si>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</si>
  <si>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</si>
  <si>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</si>
  <si>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</si>
  <si>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</si>
  <si>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</si>
  <si>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</si>
  <si>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</si>
  <si>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</si>
  <si>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</si>
  <si>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</si>
  <si>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</si>
  <si>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</si>
  <si>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</si>
  <si>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</si>
  <si>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</si>
  <si>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</si>
  <si>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</si>
  <si>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</si>
  <si>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</si>
  <si>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</si>
  <si>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</si>
  <si>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</si>
  <si>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</si>
  <si>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</si>
  <si>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</si>
  <si>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</si>
  <si>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</si>
  <si>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</si>
  <si>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</si>
  <si>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</si>
  <si>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</si>
  <si>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</si>
  <si>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</si>
  <si>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</si>
  <si>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</si>
  <si>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</si>
  <si>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</si>
  <si>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</si>
  <si>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</si>
  <si>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</si>
  <si>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</si>
  <si>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</si>
  <si>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</si>
  <si>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</si>
  <si>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</si>
  <si>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</si>
  <si>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</si>
  <si>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</si>
  <si>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</si>
  <si>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</si>
  <si>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</si>
  <si>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</si>
  <si>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</si>
  <si>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</si>
  <si>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</si>
  <si>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</si>
  <si>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</si>
  <si>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</si>
  <si>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</si>
  <si>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</si>
  <si>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</si>
  <si>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</si>
  <si>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</si>
  <si>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</si>
  <si>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</si>
  <si>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</si>
  <si>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</si>
  <si>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</si>
  <si>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</si>
  <si>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</si>
  <si>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</si>
  <si>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</si>
  <si>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</si>
  <si>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</si>
  <si>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</si>
  <si>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</si>
  <si>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</si>
  <si>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</si>
  <si>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</si>
  <si>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</si>
  <si>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</si>
  <si>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</si>
  <si>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</si>
  <si>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</si>
  <si>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</si>
  <si>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</si>
  <si>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</si>
  <si>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</si>
  <si>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</si>
  <si>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</si>
  <si>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</si>
  <si>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</si>
  <si>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</si>
  <si>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</si>
  <si>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</si>
  <si>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</si>
  <si>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</si>
  <si>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</si>
  <si>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</si>
  <si>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</si>
  <si>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</si>
  <si>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</si>
  <si>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</si>
  <si>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</si>
  <si>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</si>
  <si>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</si>
  <si>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</si>
  <si>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</si>
  <si>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</si>
  <si>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</si>
  <si>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</si>
  <si>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</si>
  <si>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</si>
  <si>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</si>
  <si>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</si>
  <si>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</si>
  <si>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</si>
  <si>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</si>
  <si>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</si>
  <si>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</si>
  <si>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</si>
  <si>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</si>
  <si>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</si>
  <si>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</si>
  <si>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</si>
  <si>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</si>
  <si>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</si>
  <si>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</si>
  <si>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</si>
  <si>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</si>
  <si>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</si>
  <si>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</si>
  <si>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</si>
  <si>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</si>
  <si>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</si>
  <si>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</si>
  <si>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</si>
  <si>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</si>
  <si>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</si>
  <si>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</si>
  <si>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</si>
  <si>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TC-AUTH04-005</t>
  </si>
  <si>
    <t xml:space="preserve">Link đặt lại quá 30 phút</t>
  </si>
  <si>
    <t xml:space="preserve">Có link &gt; 30 phút (giả lập trong DB)</t>
  </si>
  <si>
    <t xml:space="preserve">1. Mở link, nhập mật khẩu mới</t>
  </si>
  <si>
    <t xml:space="preserve">Báo link hết hạn</t>
  </si>
  <si>
    <t xml:space="preserve">TC-AUTH04-006</t>
  </si>
  <si>
    <t xml:space="preserve">Giới hạn quên mật khẩu 3 lần / 5 phút</t>
  </si>
  <si>
    <t xml:space="preserve">1. Gửi yêu cầu quên mật khẩu 4 lần trong 5 phút</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</si>
  <si>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</si>
  <si>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</si>
  <si>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</si>
  <si>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</si>
  <si>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</si>
  <si>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</si>
  <si>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</si>
  <si>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</si>
  <si>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</si>
  <si>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</si>
  <si>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</si>
  <si>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</si>
  <si>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</si>
  <si>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</si>
  <si>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</si>
  <si>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</si>
  <si>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</si>
  <si>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</si>
  <si>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</si>
  <si>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</si>
  <si>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</si>
  <si>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</si>
  <si>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</si>
  <si>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</si>
  <si>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</si>
  <si>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</si>
  <si>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</si>
  <si>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</si>
  <si>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</si>
  <si>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</si>
  <si>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</si>
  <si>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</si>
  <si>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</si>
  <si>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</si>
  <si>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</si>
  <si>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</si>
  <si>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</si>
  <si>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</si>
  <si>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</si>
  <si>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</si>
  <si>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</si>
  <si>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</si>
  <si>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</si>
  <si>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</si>
  <si>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</si>
  <si>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</si>
  <si>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</si>
  <si>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</si>
  <si>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</si>
  <si>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</si>
  <si>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</si>
  <si>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</si>
  <si>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</si>
  <si>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</si>
  <si>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</si>
  <si>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</si>
  <si>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</si>
  <si>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</si>
  <si>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</si>
  <si>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</si>
  <si>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</si>
  <si>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</si>
  <si>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</si>
  <si>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</si>
  <si>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</si>
  <si>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</si>
  <si>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</si>
  <si>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</si>
  <si>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</si>
  <si>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</si>
  <si>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</si>
  <si>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</si>
  <si>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</si>
  <si>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</si>
  <si>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</si>
  <si>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</si>
  <si>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</si>
  <si>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</si>
  <si>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</si>
  <si>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</si>
  <si>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</si>
  <si>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</si>
  <si>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</si>
  <si>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</si>
  <si>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</si>
  <si>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</si>
  <si>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</si>
  <si>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</si>
  <si>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</si>
  <si>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</si>
  <si>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</si>
  <si>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</si>
  <si>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</si>
  <si>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</si>
  <si>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</si>
  <si>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</si>
  <si>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</si>
  <si>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</si>
  <si>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</si>
  <si>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</si>
  <si>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</si>
  <si>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</si>
  <si>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</si>
  <si>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</si>
  <si>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</si>
  <si>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</si>
  <si>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</si>
  <si>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</si>
  <si>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</si>
  <si>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</si>
  <si>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</si>
  <si>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</si>
  <si>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</si>
  <si>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</si>
  <si>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</si>
  <si>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</si>
  <si>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</si>
  <si>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</si>
  <si>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</si>
  <si>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</si>
  <si>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</si>
  <si>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</si>
  <si>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</si>
  <si>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</si>
  <si>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</si>
  <si>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</si>
  <si>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</si>
  <si>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</si>
  <si>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</si>
  <si>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</si>
  <si>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</si>
  <si>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</si>
  <si>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</si>
  <si>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</si>
  <si>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</si>
  <si>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</si>
  <si>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</si>
  <si>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</si>
  <si>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</si>
  <si>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</si>
  <si>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</si>
  <si>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</si>
  <si>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</si>
  <si>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</si>
  <si>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</si>
  <si>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</si>
  <si>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</si>
  <si>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</si>
  <si>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</si>
  <si>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</si>
  <si>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</si>
  <si>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</si>
  <si>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</si>
  <si>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</si>
  <si>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</si>
  <si>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</si>
  <si>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</si>
  <si>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</si>
  <si>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</si>
  <si>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</si>
  <si>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</si>
  <si>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</si>
  <si>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</si>
  <si>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</si>
  <si>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</si>
  <si>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</si>
  <si>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</si>
  <si>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</si>
  <si>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</si>
  <si>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</si>
  <si>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</si>
  <si>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</si>
  <si>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</si>
  <si>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</si>
  <si>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</si>
  <si>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</si>
  <si>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</si>
  <si>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</si>
  <si>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</si>
  <si>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</si>
  <si>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</si>
  <si>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</si>
  <si>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</si>
  <si>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</si>
  <si>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</si>
  <si>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</si>
  <si>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</si>
  <si>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</si>
  <si>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</si>
  <si>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</si>
  <si>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</si>
  <si>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</si>
  <si>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</si>
  <si>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</si>
  <si>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</si>
  <si>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</si>
  <si>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</si>
  <si>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</si>
  <si>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</si>
  <si>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</si>
  <si>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</si>
  <si>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</si>
  <si>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</si>
  <si>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</si>
  <si>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</si>
  <si>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</si>
  <si>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</si>
  <si>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</si>
  <si>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</si>
  <si>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</si>
  <si>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</si>
  <si>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</si>
  <si>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</si>
  <si>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</si>
  <si>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</si>
  <si>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</si>
  <si>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</si>
  <si>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</si>
  <si>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</si>
  <si>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</si>
  <si>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</si>
  <si>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</si>
  <si>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</si>
  <si>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</si>
  <si>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</si>
  <si>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</si>
  <si>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</si>
  <si>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</si>
  <si>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</si>
  <si>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</si>
  <si>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</si>
  <si>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</si>
  <si>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</si>
  <si>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</si>
  <si>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</si>
  <si>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</si>
  <si>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</si>
  <si>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</si>
  <si>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</si>
  <si>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</si>
  <si>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</si>
  <si>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</si>
  <si>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</si>
  <si>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</si>
  <si>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</si>
  <si>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</si>
  <si>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</si>
  <si>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</si>
  <si>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</si>
  <si>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</si>
  <si>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</si>
  <si>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</si>
  <si>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</si>
  <si>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</si>
  <si>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</si>
  <si>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</si>
  <si>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</si>
  <si>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</si>
  <si>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</si>
  <si>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</si>
  <si>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</si>
  <si>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</si>
  <si>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</si>
  <si>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</si>
  <si>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</si>
  <si>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</si>
  <si>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</si>
  <si>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</si>
  <si>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</si>
  <si>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</si>
  <si>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</si>
  <si>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</si>
  <si>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</si>
  <si>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</si>
  <si>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</si>
  <si>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</si>
  <si>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</si>
  <si>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</si>
  <si>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</si>
  <si>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</si>
  <si>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</si>
  <si>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</si>
  <si>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</si>
  <si>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</si>
  <si>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</si>
  <si>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</si>
  <si>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</si>
  <si>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</si>
  <si>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</si>
  <si>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</si>
  <si>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</si>
  <si>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</si>
  <si>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</si>
  <si>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</si>
  <si>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</si>
  <si>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</si>
  <si>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</si>
  <si>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</si>
  <si>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</si>
  <si>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</si>
  <si>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</si>
  <si>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</si>
  <si>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</si>
  <si>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</si>
  <si>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</si>
  <si>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</si>
  <si>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</si>
  <si>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</si>
  <si>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</si>
  <si>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</si>
  <si>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</si>
  <si>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</si>
  <si>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</si>
  <si>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</si>
  <si>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</si>
  <si>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</si>
  <si>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</si>
  <si>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</si>
  <si>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</si>
  <si>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</si>
  <si>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</si>
  <si>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</si>
  <si>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</si>
  <si>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</si>
  <si>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</si>
  <si>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</si>
  <si>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</si>
  <si>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</si>
  <si>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</si>
  <si>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</si>
  <si>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</si>
  <si>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</si>
  <si>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</si>
  <si>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</si>
  <si>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</si>
  <si>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</si>
  <si>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</si>
  <si>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</si>
  <si>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</si>
  <si>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</si>
  <si>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</si>
  <si>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</si>
  <si>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</si>
  <si>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</si>
  <si>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</si>
  <si>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</si>
  <si>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</si>
  <si>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</si>
  <si>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</si>
  <si>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</si>
  <si>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</si>
  <si>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</si>
  <si>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</si>
  <si>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</si>
  <si>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</si>
  <si>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</si>
  <si>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</si>
  <si>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</si>
  <si>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</si>
  <si>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</si>
  <si>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</si>
  <si>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</si>
  <si>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</si>
  <si>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</si>
  <si>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</si>
  <si>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</si>
  <si>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</si>
  <si>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</si>
  <si>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</si>
  <si>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</si>
  <si>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</si>
  <si>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</si>
  <si>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</si>
  <si>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</si>
  <si>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</si>
  <si>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</si>
  <si>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</si>
  <si>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</si>
  <si>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</si>
  <si>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</si>
  <si>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TC-CAN07-014</t>
  </si>
  <si>
    <t xml:space="preserve">Giới hạn 20 lần ứng tuyển / phút</t>
  </si>
  <si>
    <t xml:space="preserve">1. Gọi API ứng tuyển 21 lần trong 1 phút (các tin khác nhau)</t>
  </si>
  <si>
    <t xml:space="preserve">Lần 21 bị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</si>
  <si>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</si>
  <si>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</si>
  <si>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</si>
  <si>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</si>
  <si>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</si>
  <si>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</si>
  <si>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</si>
  <si>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</si>
  <si>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</si>
  <si>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</si>
  <si>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</si>
  <si>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</si>
  <si>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</si>
  <si>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</si>
  <si>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</si>
  <si>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</si>
  <si>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</si>
  <si>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</si>
  <si>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</si>
  <si>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</si>
  <si>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</si>
  <si>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</si>
  <si>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</si>
  <si>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</si>
  <si>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</si>
  <si>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</si>
  <si>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</si>
  <si>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</si>
  <si>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</si>
  <si>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</si>
  <si>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</si>
  <si>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</si>
  <si>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</si>
  <si>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</si>
  <si>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</si>
  <si>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</si>
  <si>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</si>
  <si>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</si>
  <si>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</si>
  <si>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TC-CAN09-002</t>
  </si>
  <si>
    <t xml:space="preserve">Khách bấm Lưu việc</t>
  </si>
  <si>
    <t xml:space="preserve">1. Bấm Lưu ở một tin</t>
  </si>
  <si>
    <t xml:space="preserve">Được yêu cầu đăng nhập</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</si>
  <si>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</si>
  <si>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</si>
  <si>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</si>
  <si>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</si>
  <si>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</si>
  <si>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</si>
  <si>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</si>
  <si>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</si>
  <si>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</si>
  <si>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</si>
  <si>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</si>
  <si>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</si>
  <si>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</si>
  <si>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</si>
  <si>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</si>
  <si>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</si>
  <si>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</si>
  <si>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</si>
  <si>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</si>
  <si>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</si>
  <si>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</si>
  <si>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</si>
  <si>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</si>
  <si>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</si>
  <si>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</si>
  <si>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</si>
  <si>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</si>
  <si>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</si>
  <si>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</si>
  <si>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</si>
  <si>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</si>
  <si>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</si>
  <si>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</si>
  <si>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</si>
  <si>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</si>
  <si>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TC-CAN10-006</t>
  </si>
  <si>
    <t xml:space="preserve">Giới hạn gửi thử 3 lần / 5 phút</t>
  </si>
  <si>
    <t xml:space="preserve">1. Bấm Gửi thử 4 lần trong 5 phút</t>
  </si>
  <si>
    <t xml:space="preserve">Lần 4 bị 429</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</si>
  <si>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</si>
  <si>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</si>
  <si>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</si>
  <si>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</si>
  <si>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</si>
  <si>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</si>
  <si>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</si>
  <si>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</si>
  <si>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</si>
  <si>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</si>
  <si>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</si>
  <si>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</si>
  <si>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</si>
  <si>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</si>
  <si>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</si>
  <si>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</si>
  <si>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</si>
  <si>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</si>
  <si>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</si>
  <si>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</si>
  <si>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</si>
  <si>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</si>
  <si>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</si>
  <si>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</si>
  <si>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</si>
  <si>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</si>
  <si>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</si>
  <si>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TC-CAN12-003</t>
  </si>
  <si>
    <t xml:space="preserve">Báo cáo công ty</t>
  </si>
  <si>
    <t xml:space="preserve">1. Mở trang công ty
2. Báo cáo</t>
  </si>
  <si>
    <t xml:space="preserve">Gửi thành công</t>
  </si>
  <si>
    <t xml:space="preserve">TC-CAN12-004</t>
  </si>
  <si>
    <t xml:space="preserve">Giới hạn 5 báo cáo / 10 phút</t>
  </si>
  <si>
    <t xml:space="preserve">1. Gửi 6 báo cáo (đối tượng khác nhau) trong 10 phút</t>
  </si>
  <si>
    <t xml:space="preserve">Lần 6 bị 429</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</si>
  <si>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</si>
  <si>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</si>
  <si>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</si>
  <si>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</si>
  <si>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</si>
  <si>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</si>
  <si>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</si>
  <si>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</si>
  <si>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</si>
  <si>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</si>
  <si>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</si>
  <si>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</si>
  <si>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</si>
  <si>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</si>
  <si>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</si>
  <si>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</si>
  <si>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</si>
  <si>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</si>
  <si>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</si>
  <si>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</si>
  <si>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</si>
  <si>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</si>
  <si>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</si>
  <si>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</si>
  <si>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</si>
  <si>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</si>
  <si>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</si>
  <si>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</si>
  <si>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</si>
  <si>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</si>
  <si>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</si>
  <si>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</si>
  <si>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</si>
  <si>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</si>
  <si>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</si>
  <si>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</si>
  <si>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</si>
  <si>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</si>
  <si>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</si>
  <si>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</si>
  <si>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</si>
  <si>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</si>
  <si>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</si>
  <si>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</si>
  <si>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</si>
  <si>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</si>
  <si>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</si>
  <si>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</si>
  <si>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</si>
  <si>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</si>
  <si>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</si>
  <si>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</si>
  <si>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</si>
  <si>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</si>
  <si>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</si>
  <si>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</si>
  <si>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</si>
  <si>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</si>
  <si>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</si>
  <si>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</si>
  <si>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</si>
  <si>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</si>
  <si>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</si>
  <si>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</si>
  <si>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</si>
  <si>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</si>
  <si>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</si>
  <si>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</si>
  <si>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</si>
  <si>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</si>
  <si>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</si>
  <si>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</si>
  <si>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</si>
  <si>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</si>
  <si>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</si>
  <si>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</si>
  <si>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</si>
  <si>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</si>
  <si>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</si>
  <si>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</si>
  <si>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</si>
  <si>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</si>
  <si>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</si>
  <si>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</si>
  <si>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</si>
  <si>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</si>
  <si>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</si>
  <si>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</si>
  <si>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</si>
  <si>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</si>
  <si>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</si>
  <si>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</si>
  <si>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</si>
  <si>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</si>
  <si>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</si>
  <si>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</si>
  <si>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</si>
  <si>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</si>
  <si>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</si>
  <si>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</si>
  <si>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</si>
  <si>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</si>
  <si>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</si>
  <si>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</si>
  <si>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</si>
  <si>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</si>
  <si>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</si>
  <si>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</si>
  <si>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</si>
  <si>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</si>
  <si>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</si>
  <si>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</si>
  <si>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</si>
  <si>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</si>
  <si>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</si>
  <si>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</si>
  <si>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</si>
  <si>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</si>
  <si>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</si>
  <si>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</si>
  <si>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</si>
  <si>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</si>
  <si>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</si>
  <si>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</si>
  <si>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</si>
  <si>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</si>
  <si>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</si>
  <si>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</si>
  <si>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</si>
  <si>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</si>
  <si>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</si>
  <si>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</si>
  <si>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</si>
  <si>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</si>
  <si>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</si>
  <si>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</si>
  <si>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</si>
  <si>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</si>
  <si>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</si>
  <si>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</si>
  <si>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</si>
  <si>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</si>
  <si>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</si>
  <si>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</si>
  <si>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</si>
  <si>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</si>
  <si>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</si>
  <si>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</si>
  <si>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</si>
  <si>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</si>
  <si>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</si>
  <si>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</si>
  <si>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</si>
  <si>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</si>
  <si>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</si>
  <si>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</si>
  <si>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</si>
  <si>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</si>
  <si>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</si>
  <si>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</si>
  <si>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</si>
  <si>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</si>
  <si>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</si>
  <si>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</si>
  <si>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</si>
  <si>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</si>
  <si>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TC-CAN16-005</t>
  </si>
  <si>
    <t xml:space="preserve">Không chọn quan hệ với công ty</t>
  </si>
  <si>
    <t xml:space="preserve">Bỏ trống quan hệ</t>
  </si>
  <si>
    <t xml:space="preserve">Báo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</si>
  <si>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</si>
  <si>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</si>
  <si>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</si>
  <si>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</si>
  <si>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</si>
  <si>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</si>
  <si>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</si>
  <si>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</si>
  <si>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</si>
  <si>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</si>
  <si>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</si>
  <si>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</si>
  <si>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</si>
  <si>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</si>
  <si>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</si>
  <si>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</si>
  <si>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</si>
  <si>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</si>
  <si>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</si>
  <si>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</si>
  <si>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</si>
  <si>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</si>
  <si>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</si>
  <si>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</si>
  <si>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</si>
  <si>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</si>
  <si>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</si>
  <si>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</si>
  <si>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</si>
  <si>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</si>
  <si>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</si>
  <si>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</si>
  <si>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</si>
  <si>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</si>
  <si>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</si>
  <si>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</si>
  <si>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</si>
  <si>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</si>
  <si>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</si>
  <si>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</si>
  <si>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</si>
  <si>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</si>
  <si>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</si>
  <si>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</si>
  <si>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</si>
  <si>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</si>
  <si>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</si>
  <si>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</si>
  <si>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</si>
  <si>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</si>
  <si>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</si>
  <si>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</si>
  <si>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</si>
  <si>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</si>
  <si>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</si>
  <si>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</si>
  <si>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</si>
  <si>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</si>
  <si>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</si>
  <si>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</si>
  <si>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</si>
  <si>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</si>
  <si>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</si>
  <si>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</si>
  <si>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</si>
  <si>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</si>
  <si>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</si>
  <si>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</si>
  <si>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</si>
  <si>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</si>
  <si>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Chỉ số chỉ tính lại theo lịch mỗi giờ; chưa có lượt tính sau khi tạo đủ 5 đơn trong lượt test.</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</si>
  <si>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</si>
  <si>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</si>
  <si>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</si>
  <si>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</si>
  <si>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</si>
  <si>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Như CAN18-002: cần đợi lượt tính chỉ số theo giờ và dữ liệu 2 công ty ở 2 phía ngưỡng.</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</si>
  <si>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</si>
  <si>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</si>
  <si>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</si>
  <si>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</si>
  <si>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</si>
  <si>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Chưa có công ty nào có nhãn Phản hồi nhanh (chỉ số chưa được tính).</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</si>
  <si>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</si>
  <si>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</si>
  <si>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</si>
  <si>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</si>
  <si>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</si>
  <si>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</si>
  <si>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</si>
  <si>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</si>
  <si>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</si>
  <si>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</si>
  <si>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</si>
  <si>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</si>
  <si>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</si>
  <si>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</si>
  <si>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</si>
  <si>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</si>
  <si>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</si>
  <si>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</si>
  <si>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</si>
  <si>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</si>
  <si>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</si>
  <si>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</si>
  <si>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</si>
  <si>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</si>
  <si>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</si>
  <si>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</si>
  <si>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</si>
  <si>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</si>
  <si>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</si>
  <si>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</si>
  <si>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</si>
  <si>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</si>
  <si>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</si>
  <si>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</si>
  <si>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</si>
  <si>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</si>
  <si>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</si>
  <si>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</si>
  <si>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</si>
  <si>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</si>
  <si>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</si>
  <si>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</si>
  <si>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</si>
  <si>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</si>
  <si>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</si>
  <si>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</si>
  <si>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</si>
  <si>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</si>
  <si>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</si>
  <si>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</si>
  <si>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</si>
  <si>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</si>
  <si>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</si>
  <si>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</si>
  <si>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</si>
  <si>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</si>
  <si>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</si>
  <si>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</si>
  <si>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</si>
  <si>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</si>
  <si>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</si>
  <si>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</si>
  <si>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</si>
  <si>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</si>
  <si>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</si>
  <si>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</si>
  <si>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</si>
  <si>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</si>
  <si>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</si>
  <si>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</si>
  <si>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</si>
  <si>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</si>
  <si>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</si>
  <si>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</si>
  <si>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</si>
  <si>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</si>
  <si>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</si>
  <si>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</si>
  <si>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</si>
  <si>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</si>
  <si>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</si>
  <si>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</si>
  <si>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</si>
  <si>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</si>
  <si>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</si>
  <si>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</si>
  <si>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</si>
  <si>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</si>
  <si>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</si>
  <si>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</si>
  <si>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</si>
  <si>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</si>
  <si>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</si>
  <si>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</si>
  <si>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</si>
  <si>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</si>
  <si>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</si>
  <si>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</si>
  <si>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</si>
  <si>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</si>
  <si>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</si>
  <si>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</si>
  <si>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</si>
  <si>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</si>
  <si>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</si>
  <si>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</si>
  <si>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</si>
  <si>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</si>
  <si>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</si>
  <si>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</si>
  <si>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</si>
  <si>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</si>
  <si>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</si>
  <si>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</si>
  <si>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</si>
  <si>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</si>
  <si>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</si>
  <si>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</si>
  <si>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</si>
  <si>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</si>
  <si>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</si>
  <si>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</si>
  <si>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</si>
  <si>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</si>
  <si>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</si>
  <si>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</si>
  <si>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</si>
  <si>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</si>
  <si>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</si>
  <si>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</si>
  <si>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</si>
  <si>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</si>
  <si>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</si>
  <si>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</si>
  <si>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</si>
  <si>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</si>
  <si>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</si>
  <si>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</si>
  <si>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</si>
  <si>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</si>
  <si>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</si>
  <si>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</si>
  <si>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</si>
  <si>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</si>
  <si>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</si>
  <si>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</si>
  <si>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</si>
  <si>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</si>
  <si>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</si>
  <si>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</si>
  <si>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</si>
  <si>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</si>
  <si>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</si>
  <si>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</si>
  <si>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</si>
  <si>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</si>
  <si>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</si>
  <si>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</si>
  <si>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</si>
  <si>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</si>
  <si>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</si>
  <si>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TC-EMP01-007</t>
  </si>
  <si>
    <t xml:space="preserve">Logo &gt; 2MB / ảnh bìa &gt; 3MB</t>
  </si>
  <si>
    <t xml:space="preserve">logo 2,1MB; cover 3,1MB</t>
  </si>
  <si>
    <t xml:space="preserve">Báo "File tối đa 2MB" / "File tối đa 3MB"</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</si>
  <si>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</si>
  <si>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</si>
  <si>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</si>
  <si>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</si>
  <si>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</si>
  <si>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</si>
  <si>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</si>
  <si>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</si>
  <si>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</si>
  <si>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</si>
  <si>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</si>
  <si>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</si>
  <si>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</si>
  <si>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</si>
  <si>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</si>
  <si>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</si>
  <si>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</si>
  <si>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</si>
  <si>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</si>
  <si>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</si>
  <si>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</si>
  <si>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</si>
  <si>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</si>
  <si>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</si>
  <si>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</si>
  <si>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</si>
  <si>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</si>
  <si>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</si>
  <si>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</si>
  <si>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</si>
  <si>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</si>
  <si>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</si>
  <si>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</si>
  <si>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</si>
  <si>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</si>
  <si>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</si>
  <si>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</si>
  <si>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</si>
  <si>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</si>
  <si>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</si>
  <si>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</si>
  <si>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</si>
  <si>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</si>
  <si>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</si>
  <si>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</si>
  <si>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</si>
  <si>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</si>
  <si>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</si>
  <si>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</si>
  <si>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</si>
  <si>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</si>
  <si>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</si>
  <si>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</si>
  <si>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</si>
  <si>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</si>
  <si>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</si>
  <si>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</si>
  <si>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</si>
  <si>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</si>
  <si>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</si>
  <si>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</si>
  <si>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</si>
  <si>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</si>
  <si>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</si>
  <si>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</si>
  <si>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</si>
  <si>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</si>
  <si>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</si>
  <si>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</si>
  <si>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</si>
  <si>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</si>
  <si>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</si>
  <si>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</si>
  <si>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</si>
  <si>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</si>
  <si>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</si>
  <si>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</si>
  <si>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</si>
  <si>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</si>
  <si>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</si>
  <si>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</si>
  <si>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</si>
  <si>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</si>
  <si>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</si>
  <si>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</si>
  <si>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</si>
  <si>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</si>
  <si>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</si>
  <si>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</si>
  <si>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</si>
  <si>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</si>
  <si>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</si>
  <si>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</si>
  <si>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</si>
  <si>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</si>
  <si>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</si>
  <si>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</si>
  <si>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</si>
  <si>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</si>
  <si>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</si>
  <si>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</si>
  <si>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</si>
  <si>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</si>
  <si>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</si>
  <si>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</si>
  <si>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</si>
  <si>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</si>
  <si>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</si>
  <si>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</si>
  <si>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</si>
  <si>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</si>
  <si>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</si>
  <si>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</si>
  <si>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</si>
  <si>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</si>
  <si>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</si>
  <si>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</si>
  <si>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</si>
  <si>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</si>
  <si>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</si>
  <si>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</si>
  <si>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</si>
  <si>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</si>
  <si>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</si>
  <si>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</si>
  <si>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</si>
  <si>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</si>
  <si>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</si>
  <si>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</si>
  <si>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</si>
  <si>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</si>
  <si>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</si>
  <si>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</si>
  <si>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</si>
  <si>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</si>
  <si>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</si>
  <si>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</si>
  <si>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</si>
  <si>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</si>
  <si>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</si>
  <si>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</si>
  <si>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</si>
  <si>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</si>
  <si>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</si>
  <si>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</si>
  <si>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</si>
  <si>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</si>
  <si>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</si>
  <si>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</si>
  <si>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</si>
  <si>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</si>
  <si>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</si>
  <si>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</si>
  <si>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</si>
  <si>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</si>
  <si>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</si>
  <si>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</si>
  <si>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</si>
  <si>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</si>
  <si>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</si>
  <si>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</si>
  <si>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</si>
  <si>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</si>
  <si>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</si>
  <si>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</si>
  <si>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</si>
  <si>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</si>
  <si>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</si>
  <si>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</si>
  <si>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</si>
  <si>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</si>
  <si>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Không có tin EXPIRED trong DB (tin chỉ hết hạn khi job chạy theo ngày qua hạn nộp; API không cho đặt hạn trong quá khứ). Cần dữ liệu tin hết hạn để test</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</si>
  <si>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</si>
  <si>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</si>
  <si>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</si>
  <si>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</si>
  <si>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</si>
  <si>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</si>
  <si>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</si>
  <si>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</si>
  <si>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</si>
  <si>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</si>
  <si>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</si>
  <si>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</si>
  <si>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</si>
  <si>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</si>
  <si>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</si>
  <si>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</si>
  <si>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</si>
  <si>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</si>
  <si>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</si>
  <si>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</si>
  <si>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</si>
  <si>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</si>
  <si>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</si>
  <si>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</si>
  <si>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</si>
  <si>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</si>
  <si>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</si>
  <si>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</si>
  <si>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</si>
  <si>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</si>
  <si>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</si>
  <si>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</si>
  <si>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</si>
  <si>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</si>
  <si>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</si>
  <si>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</si>
  <si>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</si>
  <si>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</si>
  <si>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</si>
  <si>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</si>
  <si>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</si>
  <si>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</si>
  <si>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</si>
  <si>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</si>
  <si>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</si>
  <si>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</si>
  <si>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</si>
  <si>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</si>
  <si>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</si>
  <si>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</si>
  <si>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</si>
  <si>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</si>
  <si>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</si>
  <si>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</si>
  <si>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</si>
  <si>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</si>
  <si>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</si>
  <si>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</si>
  <si>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</si>
  <si>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</si>
  <si>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</si>
  <si>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</si>
  <si>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</si>
  <si>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</si>
  <si>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</si>
  <si>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</si>
  <si>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</si>
  <si>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</si>
  <si>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</si>
  <si>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</si>
  <si>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</si>
  <si>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</si>
  <si>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</si>
  <si>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</si>
  <si>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</si>
  <si>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</si>
  <si>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</si>
  <si>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</si>
  <si>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</si>
  <si>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</si>
  <si>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</si>
  <si>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</si>
  <si>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</si>
  <si>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</si>
  <si>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</si>
  <si>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</si>
  <si>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</si>
  <si>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</si>
  <si>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</si>
  <si>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</si>
  <si>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</si>
  <si>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</si>
  <si>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</si>
  <si>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</si>
  <si>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</si>
  <si>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</si>
  <si>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</si>
  <si>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</si>
  <si>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</si>
  <si>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</si>
  <si>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</si>
  <si>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</si>
  <si>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</si>
  <si>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</si>
  <si>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</si>
  <si>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</si>
  <si>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</si>
  <si>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</si>
  <si>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</si>
  <si>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</si>
  <si>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</si>
  <si>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</si>
  <si>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</si>
  <si>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</si>
  <si>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</si>
  <si>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</si>
  <si>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</si>
  <si>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</si>
  <si>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</si>
  <si>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</si>
  <si>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</si>
  <si>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</si>
  <si>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</si>
  <si>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</si>
  <si>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</si>
  <si>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</si>
  <si>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</si>
  <si>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</si>
  <si>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</si>
  <si>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</si>
  <si>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</si>
  <si>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</si>
  <si>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</si>
  <si>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</si>
  <si>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</si>
  <si>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</si>
  <si>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</si>
  <si>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</si>
  <si>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</si>
  <si>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</si>
  <si>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</si>
  <si>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</si>
  <si>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</si>
  <si>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</si>
  <si>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</si>
  <si>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</si>
  <si>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</si>
  <si>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</si>
  <si>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</si>
  <si>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</si>
  <si>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</si>
  <si>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</si>
  <si>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</si>
  <si>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</si>
  <si>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</si>
  <si>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</si>
  <si>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</si>
  <si>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</si>
  <si>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</si>
  <si>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</si>
  <si>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</si>
  <si>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</si>
  <si>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</si>
  <si>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</si>
  <si>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</si>
  <si>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</si>
  <si>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</si>
  <si>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</si>
  <si>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</si>
  <si>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</si>
  <si>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</si>
  <si>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</si>
  <si>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</si>
  <si>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</si>
  <si>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</si>
  <si>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</si>
  <si>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</si>
  <si>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</si>
  <si>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</si>
  <si>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</si>
  <si>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</si>
  <si>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</si>
  <si>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</si>
  <si>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</si>
  <si>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</si>
  <si>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</si>
  <si>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</si>
  <si>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</si>
  <si>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</si>
  <si>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</si>
  <si>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</si>
  <si>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</si>
  <si>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</si>
  <si>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</si>
  <si>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</si>
  <si>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</si>
  <si>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</si>
  <si>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</si>
  <si>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</si>
  <si>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</si>
  <si>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</si>
  <si>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</si>
  <si>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</si>
  <si>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</si>
  <si>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</si>
  <si>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</si>
  <si>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</si>
  <si>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</si>
  <si>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</si>
  <si>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</si>
  <si>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</si>
  <si>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</si>
  <si>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</si>
  <si>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</si>
  <si>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</si>
  <si>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</si>
  <si>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</si>
  <si>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</si>
  <si>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</si>
  <si>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</si>
  <si>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</si>
  <si>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</si>
  <si>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</si>
  <si>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</si>
  <si>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</si>
  <si>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</si>
  <si>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</si>
  <si>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</si>
  <si>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</si>
  <si>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</si>
  <si>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</si>
  <si>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</si>
  <si>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</si>
  <si>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</si>
  <si>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</si>
  <si>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</si>
  <si>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</si>
  <si>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</si>
  <si>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</si>
  <si>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</si>
  <si>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</si>
  <si>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</si>
  <si>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</si>
  <si>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</si>
  <si>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</si>
  <si>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</si>
  <si>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</si>
  <si>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</si>
  <si>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</si>
  <si>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</si>
  <si>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</si>
  <si>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</si>
  <si>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</si>
  <si>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</si>
  <si>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</si>
  <si>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</si>
  <si>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</si>
  <si>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</si>
  <si>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</si>
  <si>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</si>
  <si>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</si>
  <si>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</si>
  <si>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</si>
  <si>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</si>
  <si>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</si>
  <si>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</si>
  <si>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</si>
  <si>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</si>
  <si>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</si>
  <si>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</si>
  <si>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</si>
  <si>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</si>
  <si>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</si>
  <si>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</si>
  <si>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</si>
  <si>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</si>
  <si>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</si>
  <si>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</si>
  <si>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</si>
  <si>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</si>
  <si>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</si>
  <si>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</si>
  <si>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</si>
  <si>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</si>
  <si>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</si>
  <si>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</si>
  <si>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</si>
  <si>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</si>
  <si>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</si>
  <si>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</si>
  <si>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</si>
  <si>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</si>
  <si>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</si>
  <si>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</si>
  <si>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</si>
  <si>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</si>
  <si>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</si>
  <si>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</si>
  <si>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</si>
  <si>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</si>
  <si>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</si>
  <si>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</si>
  <si>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</si>
  <si>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</si>
  <si>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</si>
  <si>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</si>
  <si>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</si>
  <si>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</si>
  <si>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</si>
  <si>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</si>
  <si>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</si>
  <si>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</si>
  <si>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</si>
  <si>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</si>
  <si>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</si>
  <si>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</si>
  <si>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</si>
  <si>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</si>
  <si>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</si>
  <si>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</si>
  <si>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</si>
  <si>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</si>
  <si>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</si>
  <si>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</si>
  <si>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</si>
  <si>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</si>
  <si>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</si>
  <si>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</si>
  <si>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</si>
  <si>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</si>
  <si>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</si>
  <si>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</si>
  <si>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</si>
  <si>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</si>
  <si>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</si>
  <si>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</si>
  <si>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Cần lượt tính chỉ số theo giờ để thấy thay đổi; không kích hoạt được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</si>
  <si>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</si>
  <si>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</si>
  <si>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</si>
  <si>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</si>
  <si>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</si>
  <si>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</si>
  <si>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</si>
  <si>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</si>
  <si>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</si>
  <si>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</si>
  <si>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</si>
  <si>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</si>
  <si>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</si>
  <si>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</si>
  <si>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</si>
  <si>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</si>
  <si>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</si>
  <si>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</si>
  <si>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</si>
  <si>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</si>
  <si>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</si>
  <si>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</si>
  <si>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</si>
  <si>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</si>
  <si>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</si>
  <si>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</si>
  <si>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</si>
  <si>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</si>
  <si>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</si>
  <si>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</si>
  <si>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</si>
  <si>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</si>
  <si>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</si>
  <si>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</si>
  <si>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</si>
  <si>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</si>
  <si>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</si>
  <si>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</si>
  <si>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</si>
  <si>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</si>
  <si>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</si>
  <si>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</si>
  <si>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</si>
  <si>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</si>
  <si>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</si>
  <si>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</si>
  <si>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</si>
  <si>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</si>
  <si>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</si>
  <si>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</si>
  <si>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</si>
  <si>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</si>
  <si>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</si>
  <si>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</si>
  <si>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</si>
  <si>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</si>
  <si>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</si>
  <si>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</si>
  <si>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</si>
  <si>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</si>
  <si>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</si>
  <si>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</si>
  <si>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</si>
  <si>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</si>
  <si>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</si>
  <si>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</si>
  <si>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</si>
  <si>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</si>
  <si>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</si>
  <si>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</si>
  <si>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</si>
  <si>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</si>
  <si>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</si>
  <si>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</si>
  <si>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</si>
  <si>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</si>
  <si>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</si>
  <si>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</si>
  <si>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</si>
  <si>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</si>
  <si>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</si>
  <si>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</si>
  <si>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</si>
  <si>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</si>
  <si>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</si>
  <si>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</si>
  <si>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</si>
  <si>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</si>
  <si>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</si>
  <si>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</si>
  <si>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</si>
  <si>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</si>
  <si>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</si>
  <si>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</si>
  <si>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</si>
  <si>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</si>
  <si>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</si>
  <si>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</si>
  <si>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</si>
  <si>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</si>
  <si>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</si>
  <si>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</si>
  <si>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</si>
  <si>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</si>
  <si>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</si>
  <si>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</si>
  <si>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</si>
  <si>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</si>
  <si>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</si>
  <si>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</si>
  <si>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</si>
  <si>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</si>
  <si>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</si>
  <si>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</si>
  <si>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</si>
  <si>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</si>
  <si>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</si>
  <si>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</si>
  <si>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</si>
  <si>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</si>
  <si>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</si>
  <si>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</si>
  <si>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</si>
  <si>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</si>
  <si>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</si>
  <si>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</si>
  <si>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</si>
  <si>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</si>
  <si>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</si>
  <si>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</si>
  <si>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</si>
  <si>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</si>
  <si>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</si>
  <si>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</si>
  <si>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</si>
  <si>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</si>
  <si>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</si>
  <si>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</si>
  <si>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</si>
  <si>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</si>
  <si>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</si>
  <si>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</si>
  <si>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</si>
  <si>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</si>
  <si>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</si>
  <si>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</si>
  <si>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</si>
  <si>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</si>
  <si>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</si>
  <si>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</si>
  <si>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</si>
  <si>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</si>
  <si>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</si>
  <si>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</si>
  <si>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</si>
  <si>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</si>
  <si>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</si>
  <si>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</si>
  <si>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</si>
  <si>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</si>
  <si>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</si>
  <si>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</si>
  <si>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</si>
  <si>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</si>
  <si>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</si>
  <si>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</si>
  <si>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</si>
  <si>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</si>
  <si>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</si>
  <si>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</si>
  <si>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</si>
  <si>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</si>
  <si>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</si>
  <si>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</si>
  <si>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</si>
  <si>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</si>
  <si>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</si>
  <si>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</si>
  <si>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</si>
  <si>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</si>
  <si>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</si>
  <si>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</si>
  <si>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</si>
  <si>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</si>
  <si>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</si>
  <si>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</si>
  <si>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</si>
  <si>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</si>
  <si>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</si>
  <si>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</si>
  <si>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</si>
  <si>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</si>
  <si>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</si>
  <si>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</si>
  <si>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</si>
  <si>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</si>
  <si>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</si>
  <si>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</si>
  <si>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</si>
  <si>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</si>
  <si>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</si>
  <si>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</si>
  <si>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</si>
  <si>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</si>
  <si>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</si>
  <si>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</si>
  <si>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</si>
  <si>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</si>
  <si>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</si>
  <si>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</si>
  <si>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</si>
  <si>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</si>
  <si>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</si>
  <si>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</si>
  <si>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</si>
  <si>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</si>
  <si>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</si>
  <si>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</si>
  <si>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</si>
  <si>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</si>
  <si>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</si>
  <si>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</si>
  <si>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</si>
  <si>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</si>
  <si>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</si>
  <si>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</si>
  <si>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</si>
  <si>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</si>
  <si>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</si>
  <si>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</si>
  <si>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</si>
  <si>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</si>
  <si>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</si>
  <si>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</si>
  <si>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</si>
  <si>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</si>
  <si>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</si>
  <si>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</si>
  <si>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</si>
  <si>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</si>
  <si>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</si>
  <si>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</si>
  <si>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</si>
  <si>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</si>
  <si>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</si>
  <si>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</si>
  <si>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</si>
  <si>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</si>
  <si>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</si>
  <si>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</si>
  <si>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</si>
  <si>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</si>
  <si>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</si>
  <si>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</si>
  <si>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</si>
  <si>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</si>
  <si>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</si>
  <si>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</si>
  <si>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</si>
  <si>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</si>
  <si>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</si>
  <si>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</si>
  <si>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</si>
  <si>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</si>
  <si>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</si>
  <si>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</si>
  <si>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</si>
  <si>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</si>
  <si>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</si>
  <si>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</si>
  <si>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</si>
  <si>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</si>
  <si>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</si>
  <si>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</si>
  <si>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</si>
  <si>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</si>
  <si>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</si>
  <si>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</si>
  <si>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</si>
  <si>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</si>
  <si>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</si>
  <si>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</si>
  <si>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</si>
  <si>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</si>
  <si>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</si>
  <si>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</si>
  <si>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</si>
  <si>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</si>
  <si>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</si>
  <si>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</si>
  <si>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</si>
  <si>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</si>
  <si>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</si>
  <si>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</si>
  <si>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</si>
  <si>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</si>
  <si>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</si>
  <si>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</si>
  <si>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</si>
  <si>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</si>
  <si>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</si>
  <si>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</si>
  <si>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</si>
  <si>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</si>
  <si>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</si>
  <si>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</si>
  <si>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</si>
  <si>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</si>
  <si>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</si>
  <si>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</si>
  <si>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</si>
  <si>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</si>
  <si>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</si>
  <si>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</si>
  <si>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</si>
  <si>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</si>
  <si>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</si>
  <si>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</si>
  <si>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</si>
  <si>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</si>
  <si>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</si>
  <si>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</si>
  <si>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</si>
  <si>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</si>
  <si>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</si>
  <si>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</si>
  <si>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</si>
  <si>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</si>
  <si>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</si>
  <si>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</si>
  <si>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</si>
  <si>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</si>
  <si>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</si>
  <si>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</si>
  <si>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</si>
  <si>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</si>
  <si>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</si>
  <si>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</si>
  <si>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</si>
  <si>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</si>
  <si>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</si>
  <si>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</si>
  <si>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</si>
  <si>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</si>
  <si>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</si>
  <si>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</si>
  <si>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</si>
  <si>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</si>
  <si>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</si>
  <si>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</si>
  <si>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</si>
  <si>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</si>
  <si>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</si>
  <si>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</si>
  <si>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</si>
  <si>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</si>
  <si>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</si>
  <si>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</si>
  <si>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</si>
  <si>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</si>
  <si>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</si>
  <si>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</si>
  <si>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</si>
  <si>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</si>
  <si>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</si>
  <si>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</si>
  <si>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</si>
  <si>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</si>
  <si>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</si>
  <si>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</si>
  <si>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</si>
  <si>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</si>
  <si>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</si>
  <si>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</si>
  <si>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</si>
  <si>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</si>
  <si>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</si>
  <si>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</si>
  <si>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</si>
  <si>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</si>
  <si>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</si>
  <si>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</si>
  <si>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</si>
  <si>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</si>
  <si>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</si>
  <si>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</si>
  <si>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</si>
  <si>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</si>
  <si>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</si>
  <si>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</si>
  <si>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</si>
  <si>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</si>
  <si>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</si>
  <si>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</si>
  <si>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</si>
  <si>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</si>
  <si>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</si>
  <si>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</si>
  <si>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</si>
  <si>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</si>
  <si>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</si>
  <si>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</si>
  <si>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</si>
  <si>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</si>
  <si>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</si>
  <si>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</si>
  <si>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</si>
  <si>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</si>
  <si>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</si>
  <si>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</si>
  <si>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</si>
  <si>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</si>
  <si>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</si>
  <si>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</si>
  <si>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</si>
  <si>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</si>
  <si>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</si>
  <si>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</si>
  <si>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</si>
  <si>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</si>
  <si>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</si>
  <si>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</si>
  <si>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</si>
  <si>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</si>
  <si>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</si>
  <si>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</si>
  <si>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</si>
  <si>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</si>
  <si>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</si>
  <si>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</si>
  <si>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</si>
  <si>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</si>
  <si>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</si>
  <si>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</si>
  <si>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</si>
  <si>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</si>
  <si>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</si>
  <si>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</si>
  <si>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</si>
  <si>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</si>
  <si>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</si>
  <si>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</si>
  <si>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</si>
  <si>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</si>
  <si>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</si>
  <si>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</si>
  <si>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</si>
  <si>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</si>
  <si>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</si>
  <si>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</si>
  <si>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</si>
  <si>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</si>
  <si>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</si>
  <si>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</si>
  <si>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</si>
  <si>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</si>
  <si>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</si>
  <si>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</si>
  <si>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</si>
  <si>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</si>
  <si>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</si>
  <si>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</si>
  <si>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</si>
  <si>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</si>
  <si>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</si>
  <si>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</si>
  <si>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</si>
  <si>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</si>
  <si>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</si>
  <si>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</si>
  <si>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</si>
  <si>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</si>
  <si>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</si>
  <si>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</si>
  <si>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</si>
  <si>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</si>
  <si>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</si>
  <si>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</si>
  <si>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</si>
  <si>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</si>
  <si>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</si>
  <si>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</si>
  <si>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</si>
  <si>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</si>
  <si>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</si>
  <si>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</si>
  <si>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</si>
  <si>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</si>
  <si>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</si>
  <si>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</si>
  <si>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</si>
  <si>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</si>
  <si>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</si>
  <si>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</si>
  <si>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</si>
  <si>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</si>
  <si>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</si>
  <si>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</si>
  <si>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</si>
  <si>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</si>
  <si>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</si>
  <si>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</si>
  <si>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</si>
  <si>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</si>
  <si>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</si>
  <si>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</si>
  <si>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</si>
  <si>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</si>
  <si>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</si>
  <si>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</si>
  <si>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</si>
  <si>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</si>
  <si>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</si>
  <si>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</si>
  <si>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</si>
  <si>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</si>
  <si>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</si>
  <si>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</si>
  <si>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</si>
  <si>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</si>
  <si>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</si>
  <si>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</si>
  <si>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</si>
  <si>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</si>
  <si>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</si>
  <si>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</si>
  <si>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</si>
  <si>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</si>
  <si>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</si>
  <si>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</si>
  <si>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</si>
  <si>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</si>
  <si>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</si>
  <si>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</si>
  <si>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</si>
  <si>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</si>
  <si>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</si>
  <si>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</si>
  <si>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</si>
  <si>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</si>
  <si>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</si>
  <si>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</si>
  <si>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</si>
  <si>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</si>
  <si>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</si>
  <si>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</si>
  <si>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</si>
  <si>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</si>
  <si>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</si>
  <si>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</si>
  <si>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</si>
  <si>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</si>
  <si>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</si>
  <si>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</si>
  <si>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</si>
  <si>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</si>
  <si>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</si>
  <si>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</si>
  <si>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</si>
  <si>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</si>
  <si>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</si>
  <si>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</si>
  <si>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</si>
  <si>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</si>
  <si>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</si>
  <si>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</si>
  <si>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</si>
  <si>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</si>
  <si>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</si>
  <si>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</si>
  <si>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</si>
  <si>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</si>
  <si>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</si>
  <si>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</si>
  <si>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</si>
  <si>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</si>
  <si>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</si>
  <si>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</si>
  <si>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</si>
  <si>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</si>
  <si>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</si>
  <si>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</si>
  <si>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</si>
  <si>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</si>
  <si>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</si>
  <si>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</si>
  <si>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</si>
  <si>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</si>
  <si>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</si>
  <si>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</si>
  <si>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</si>
  <si>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</si>
  <si>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</si>
  <si>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</si>
  <si>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</si>
  <si>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</si>
  <si>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</si>
  <si>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</si>
  <si>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</si>
  <si>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</si>
  <si>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</si>
  <si>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</si>
  <si>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</si>
  <si>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</si>
  <si>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</si>
  <si>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</si>
  <si>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</si>
  <si>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</si>
  <si>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</si>
  <si>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</si>
  <si>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</si>
  <si>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</si>
  <si>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</si>
  <si>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</si>
  <si>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</si>
  <si>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</si>
  <si>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</si>
  <si>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</si>
  <si>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</si>
  <si>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</si>
  <si>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</si>
  <si>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</si>
  <si>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</si>
  <si>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</si>
  <si>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</si>
  <si>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</si>
  <si>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</si>
  <si>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</si>
  <si>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</si>
  <si>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</si>
  <si>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</si>
  <si>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</si>
  <si>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</si>
  <si>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</si>
  <si>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</si>
  <si>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</si>
  <si>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</si>
  <si>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</si>
  <si>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</si>
  <si>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</si>
  <si>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</si>
  <si>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</si>
  <si>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</si>
  <si>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</si>
  <si>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</si>
  <si>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</si>
  <si>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</si>
  <si>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</si>
  <si>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</si>
  <si>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</si>
  <si>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TC-S53-003</t>
  </si>
  <si>
    <t xml:space="preserve">Từ chối khi không có yêu cầu xác minh</t>
  </si>
  <si>
    <t xml:space="preserve">1. Admin gọi API từ chối xác minh</t>
  </si>
  <si>
    <t xml:space="preserve">Báo "Không có yêu cầu xác minh để từ chối"</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</si>
  <si>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</si>
  <si>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</si>
  <si>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</si>
  <si>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</si>
  <si>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</si>
  <si>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</si>
  <si>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</si>
  <si>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</si>
  <si>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</si>
  <si>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</si>
  <si>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</si>
  <si>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</si>
  <si>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</si>
  <si>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</si>
  <si>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</si>
  <si>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</si>
  <si>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</si>
  <si>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</si>
  <si>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</si>
  <si>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</si>
  <si>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</si>
  <si>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</si>
  <si>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</si>
  <si>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</si>
  <si>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</si>
  <si>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</si>
  <si>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</si>
  <si>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</si>
  <si>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</si>
  <si>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</si>
  <si>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</si>
  <si>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</si>
  <si>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</si>
  <si>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</si>
  <si>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</si>
  <si>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</si>
  <si>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</si>
  <si>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</si>
  <si>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</si>
  <si>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</si>
  <si>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TC-SEC-008</t>
  </si>
  <si>
    <t xml:space="preserve">Body request quá 1MB</t>
  </si>
  <si>
    <t xml:space="preserve">JSON 1,5MB</t>
  </si>
  <si>
    <t xml:space="preserve">1. Gửi tới API bất kỳ</t>
  </si>
  <si>
    <t xml:space="preserve">Trả 413</t>
  </si>
  <si>
    <t xml:space="preserve">TC-SEC-009</t>
  </si>
  <si>
    <t xml:space="preserve">Header bảo mật (Helmet)</t>
  </si>
  <si>
    <t xml:space="preserve">1. Xem response header của API</t>
  </si>
  <si>
    <t xml:space="preserve">Có X-Content-Type-Options, X-Frame-Options/CSP…;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</si>
  <si>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</si>
  <si>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</si>
  <si>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</si>
  <si>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</si>
  <si>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</si>
  <si>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TC-SEC-011</t>
  </si>
  <si>
    <t xml:space="preserve">Rate limit chung 300 request/phút/IP</t>
  </si>
  <si>
    <t xml:space="preserve">1. Gửi 301 request trong 1 phút tới API công khai (k6/JMeter)</t>
  </si>
  <si>
    <t xml:space="preserve">Request vượt ngưỡng nhận 429</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</si>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</sst>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86</v>
      </c>
      <c r="B1" s="6" t="s">
        <v>87</v>
      </c>
      <c r="C1" s="6" t="s">
        <v>88</v>
      </c>
      <c r="D1" s="6" t="s">
        <v>89</v>
      </c>
      <c r="E1" s="6" t="s">
        <v>90</v>
      </c>
      <c r="F1" s="6" t="s">
        <v>91</v>
      </c>
      <c r="G1" s="6" t="s">
        <v>32</v>
      </c>
      <c r="H1" s="6" t="s">
        <v>92</v>
      </c>
      <c r="I1" s="6" t="s">
        <v>93</v>
      </c>
      <c r="J1" s="6" t="s">
        <v>94</v>
      </c>
      <c r="K1" s="6" t="s">
        <v>95</v>
      </c>
      <c r="L1" s="6" t="s">
        <v>96</v>
      </c>
      <c r="M1" s="6" t="s">
        <v>97</v>
      </c>
    </row>
    <row r="2" customFormat="false" ht="15" hidden="false" customHeight="true" outlineLevel="0" collapsed="false">
      <c r="A2" s="7" t="s">
        <v>98</v>
      </c>
      <c r="B2" s="7" t="n">
        <f aca="false">COUNTA('Xác thực'!A:A)-1</f>
        <v>44</v>
      </c>
      <c r="C2" s="7" t="n">
        <f aca="false">COUNTIF('Xác thực'!I:I,"P0")</f>
        <v>29</v>
      </c>
      <c r="D2" s="7" t="n">
        <f aca="false">COUNTIF('Xác thực'!I:I,"P1")</f>
        <v>14</v>
      </c>
      <c r="E2" s="7" t="n">
        <f aca="false">COUNTIF('Xác thực'!I:I,"P2")</f>
        <v>1</v>
      </c>
      <c r="F2" s="7" t="n">
        <f aca="false">G2+H2+I2+J2</f>
        <v>29</v>
      </c>
      <c r="G2" s="7" t="n">
        <f aca="false">COUNTIF('Xác thực'!L:L,"Pass")</f>
        <v>29</v>
      </c>
      <c r="H2" s="7" t="n">
        <f aca="false">COUNTIF('Xác thực'!L:L,"Fail")</f>
        <v>0</v>
      </c>
      <c r="I2" s="7" t="n">
        <f aca="false">COUNTIF('Xác thực'!L:L,"Blocked")</f>
        <v>0</v>
      </c>
      <c r="J2" s="7" t="n">
        <f aca="false">COUNTIF('Xác thực'!L:L,"Skip")</f>
        <v>0</v>
      </c>
      <c r="K2" s="7" t="n">
        <f aca="false">B2-F2</f>
        <v>15</v>
      </c>
      <c r="L2" s="8" t="n">
        <f aca="false">IF(B2=0,0,F2/B2)</f>
        <v>0.659090909090909</v>
      </c>
      <c r="M2" s="8" t="n">
        <f aca="false">IF(F2=0,0,G2/F2)</f>
        <v>1</v>
      </c>
    </row>
    <row r="3" customFormat="false" ht="15" hidden="false" customHeight="true" outlineLevel="0" collapsed="false">
      <c r="A3" s="7" t="s">
        <v>99</v>
      </c>
      <c r="B3" s="7" t="n">
        <f aca="false">COUNTA('Ứng viên'!A:A)-1</f>
        <v>146</v>
      </c>
      <c r="C3" s="7" t="n">
        <f aca="false">COUNTIF('Ứng viên'!I:I,"P0")</f>
        <v>44</v>
      </c>
      <c r="D3" s="7" t="n">
        <f aca="false">COUNTIF('Ứng viên'!I:I,"P1")</f>
        <v>67</v>
      </c>
      <c r="E3" s="7" t="n">
        <f aca="false">COUNTIF('Ứng viên'!I:I,"P2")</f>
        <v>35</v>
      </c>
      <c r="F3" s="7" t="n">
        <f aca="false">G3+H3+I3+J3</f>
        <v>74</v>
      </c>
      <c r="G3" s="7" t="n">
        <f aca="false">COUNTIF('Ứng viên'!L:L,"Pass")</f>
        <v>71</v>
      </c>
      <c r="H3" s="7" t="n">
        <f aca="false">COUNTIF('Ứng viên'!L:L,"Fail")</f>
        <v>0</v>
      </c>
      <c r="I3" s="7" t="n">
        <f aca="false">COUNTIF('Ứng viên'!L:L,"Blocked")</f>
        <v>3</v>
      </c>
      <c r="J3" s="7" t="n">
        <f aca="false">COUNTIF('Ứng viên'!L:L,"Skip")</f>
        <v>0</v>
      </c>
      <c r="K3" s="7" t="n">
        <f aca="false">B3-F3</f>
        <v>72</v>
      </c>
      <c r="L3" s="8" t="n">
        <f aca="false">IF(B3=0,0,F3/B3)</f>
        <v>0.506849315068493</v>
      </c>
      <c r="M3" s="8" t="n">
        <f aca="false">IF(F3=0,0,G3/F3)</f>
        <v>0.959459459459459</v>
      </c>
    </row>
    <row r="4" customFormat="false" ht="15" hidden="false" customHeight="true" outlineLevel="0" collapsed="false">
      <c r="A4" s="7" t="s">
        <v>100</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58</v>
      </c>
      <c r="G4" s="7" t="n">
        <f aca="false">COUNTIF('Nhà tuyển dụng'!L:L,"Pass")</f>
        <v>56</v>
      </c>
      <c r="H4" s="7" t="n">
        <f aca="false">COUNTIF('Nhà tuyển dụng'!L:L,"Fail")</f>
        <v>0</v>
      </c>
      <c r="I4" s="7" t="n">
        <f aca="false">COUNTIF('Nhà tuyển dụng'!L:L,"Blocked")</f>
        <v>2</v>
      </c>
      <c r="J4" s="7" t="n">
        <f aca="false">COUNTIF('Nhà tuyển dụng'!L:L,"Skip")</f>
        <v>0</v>
      </c>
      <c r="K4" s="7" t="n">
        <f aca="false">B4-F4</f>
        <v>56</v>
      </c>
      <c r="L4" s="8" t="n">
        <f aca="false">IF(B4=0,0,F4/B4)</f>
        <v>0.508771929824561</v>
      </c>
      <c r="M4" s="8" t="n">
        <f aca="false">IF(F4=0,0,G4/F4)</f>
        <v>0.96551724137931</v>
      </c>
    </row>
    <row r="5" customFormat="false" ht="15" hidden="false" customHeight="true" outlineLevel="0" collapsed="false">
      <c r="A5" s="7" t="s">
        <v>101</v>
      </c>
      <c r="B5" s="7" t="n">
        <f aca="false">COUNTA(Admin!A:A)-1</f>
        <v>71</v>
      </c>
      <c r="C5" s="7" t="n">
        <f aca="false">COUNTIF(Admin!I:I,"P0")</f>
        <v>19</v>
      </c>
      <c r="D5" s="7" t="n">
        <f aca="false">COUNTIF(Admin!I:I,"P1")</f>
        <v>28</v>
      </c>
      <c r="E5" s="7" t="n">
        <f aca="false">COUNTIF(Admin!I:I,"P2")</f>
        <v>24</v>
      </c>
      <c r="F5" s="7" t="n">
        <f aca="false">G5+H5+I5+J5</f>
        <v>27</v>
      </c>
      <c r="G5" s="7" t="n">
        <f aca="false">COUNTIF(Admin!L:L,"Pass")</f>
        <v>27</v>
      </c>
      <c r="H5" s="7" t="n">
        <f aca="false">COUNTIF(Admin!L:L,"Fail")</f>
        <v>0</v>
      </c>
      <c r="I5" s="7" t="n">
        <f aca="false">COUNTIF(Admin!L:L,"Blocked")</f>
        <v>0</v>
      </c>
      <c r="J5" s="7" t="n">
        <f aca="false">COUNTIF(Admin!L:L,"Skip")</f>
        <v>0</v>
      </c>
      <c r="K5" s="7" t="n">
        <f aca="false">B5-F5</f>
        <v>44</v>
      </c>
      <c r="L5" s="8" t="n">
        <f aca="false">IF(B5=0,0,F5/B5)</f>
        <v>0.380281690140845</v>
      </c>
      <c r="M5" s="8" t="n">
        <f aca="false">IF(F5=0,0,G5/F5)</f>
        <v>1</v>
      </c>
    </row>
    <row r="6" customFormat="false" ht="15" hidden="false" customHeight="true" outlineLevel="0" collapsed="false">
      <c r="A6" s="7" t="s">
        <v>102</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103</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14</v>
      </c>
      <c r="G7" s="7" t="n">
        <f aca="false">COUNTIF('Quy tắc trạng thái'!L:L,"Pass")</f>
        <v>14</v>
      </c>
      <c r="H7" s="7" t="n">
        <f aca="false">COUNTIF('Quy tắc trạng thái'!L:L,"Fail")</f>
        <v>0</v>
      </c>
      <c r="I7" s="7" t="n">
        <f aca="false">COUNTIF('Quy tắc trạng thái'!L:L,"Blocked")</f>
        <v>0</v>
      </c>
      <c r="J7" s="7" t="n">
        <f aca="false">COUNTIF('Quy tắc trạng thái'!L:L,"Skip")</f>
        <v>0</v>
      </c>
      <c r="K7" s="7" t="n">
        <f aca="false">B7-F7</f>
        <v>10</v>
      </c>
      <c r="L7" s="8" t="n">
        <f aca="false">IF(B7=0,0,F7/B7)</f>
        <v>0.583333333333333</v>
      </c>
      <c r="M7" s="8" t="n">
        <f aca="false">IF(F7=0,0,G7/F7)</f>
        <v>1</v>
      </c>
    </row>
    <row r="8" customFormat="false" ht="15" hidden="false" customHeight="true" outlineLevel="0" collapsed="false">
      <c r="A8" s="7" t="s">
        <v>104</v>
      </c>
      <c r="B8" s="7" t="n">
        <f aca="false">COUNTA('Phi chức năng'!A:A)-1</f>
        <v>29</v>
      </c>
      <c r="C8" s="7" t="n">
        <f aca="false">COUNTIF('Phi chức năng'!I:I,"P0")</f>
        <v>5</v>
      </c>
      <c r="D8" s="7" t="n">
        <f aca="false">COUNTIF('Phi chức năng'!I:I,"P1")</f>
        <v>14</v>
      </c>
      <c r="E8" s="7" t="n">
        <f aca="false">COUNTIF('Phi chức năng'!I:I,"P2")</f>
        <v>10</v>
      </c>
      <c r="F8" s="7" t="n">
        <f aca="false">G8+H8+I8+J8</f>
        <v>5</v>
      </c>
      <c r="G8" s="7" t="n">
        <f aca="false">COUNTIF('Phi chức năng'!L:L,"Pass")</f>
        <v>5</v>
      </c>
      <c r="H8" s="7" t="n">
        <f aca="false">COUNTIF('Phi chức năng'!L:L,"Fail")</f>
        <v>0</v>
      </c>
      <c r="I8" s="7" t="n">
        <f aca="false">COUNTIF('Phi chức năng'!L:L,"Blocked")</f>
        <v>0</v>
      </c>
      <c r="J8" s="7" t="n">
        <f aca="false">COUNTIF('Phi chức năng'!L:L,"Skip")</f>
        <v>0</v>
      </c>
      <c r="K8" s="7" t="n">
        <f aca="false">B8-F8</f>
        <v>24</v>
      </c>
      <c r="L8" s="8" t="n">
        <f aca="false">IF(B8=0,0,F8/B8)</f>
        <v>0.172413793103448</v>
      </c>
      <c r="M8" s="8" t="n">
        <f aca="false">IF(F8=0,0,G8/F8)</f>
        <v>1</v>
      </c>
    </row>
    <row r="9" customFormat="false" ht="15" hidden="false" customHeight="true" outlineLevel="0" collapsed="false">
      <c r="A9" s="9" t="s">
        <v>105</v>
      </c>
      <c r="B9" s="9" t="n">
        <f aca="false">SUM(B2:B8)</f>
        <v>443</v>
      </c>
      <c r="C9" s="9" t="n">
        <f aca="false">SUM(C2:C8)</f>
        <v>151</v>
      </c>
      <c r="D9" s="9" t="n">
        <f aca="false">SUM(D2:D8)</f>
        <v>172</v>
      </c>
      <c r="E9" s="9" t="n">
        <f aca="false">SUM(E2:E8)</f>
        <v>120</v>
      </c>
      <c r="F9" s="9" t="n">
        <f aca="false">SUM(F2:F8)</f>
        <v>212</v>
      </c>
      <c r="G9" s="9" t="n">
        <f aca="false">SUM(G2:G8)</f>
        <v>207</v>
      </c>
      <c r="H9" s="9" t="n">
        <f aca="false">SUM(H2:H8)</f>
        <v>0</v>
      </c>
      <c r="I9" s="9" t="n">
        <f aca="false">SUM(I2:I8)</f>
        <v>5</v>
      </c>
      <c r="J9" s="9" t="n">
        <f aca="false">SUM(J2:J8)</f>
        <v>0</v>
      </c>
      <c r="K9" s="9" t="n">
        <f aca="false">SUM(K2:K8)</f>
        <v>231</v>
      </c>
      <c r="L9" s="10" t="n">
        <f aca="false">IF(B9=0,0,F9/B9)</f>
        <v>0.478555304740406</v>
      </c>
      <c r="M9" s="10" t="n">
        <f aca="false">IF(F9=0,0,G9/F9)</f>
        <v>0.976415094339623</v>
      </c>
    </row>
    <row r="11" customFormat="false" ht="15" hidden="false" customHeight="true" outlineLevel="0" collapsed="false">
      <c r="A11" s="11" t="s">
        <v>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107</v>
      </c>
      <c r="B1" s="12" t="s">
        <v>108</v>
      </c>
      <c r="C1" s="12" t="s">
        <v>109</v>
      </c>
      <c r="D1" s="12" t="s">
        <v>87</v>
      </c>
      <c r="E1" s="12" t="s">
        <v>91</v>
      </c>
      <c r="F1" s="12" t="s">
        <v>32</v>
      </c>
      <c r="G1" s="12" t="s">
        <v>92</v>
      </c>
      <c r="H1" s="12" t="s">
        <v>110</v>
      </c>
    </row>
    <row r="2" customFormat="false" ht="15" hidden="false" customHeight="true" outlineLevel="0" collapsed="false">
      <c r="A2" s="7" t="s">
        <v>111</v>
      </c>
      <c r="B2" s="7" t="s">
        <v>98</v>
      </c>
      <c r="C2" s="7" t="s">
        <v>88</v>
      </c>
      <c r="D2" s="7" t="n">
        <v>13</v>
      </c>
      <c r="E2" s="7" t="n">
        <f aca="false">COUNTIFS('Xác thực'!B:B,A2,'Xác thực'!L:L,"&lt;&gt;Chưa chạy")</f>
        <v>9</v>
      </c>
      <c r="F2" s="7" t="n">
        <f aca="false">COUNTIFS('Xác thực'!B:B,A2,'Xác thực'!L:L,"Pass")</f>
        <v>9</v>
      </c>
      <c r="G2" s="7" t="n">
        <f aca="false">COUNTIFS('Xác thực'!B:B,A2,'Xác thực'!L:L,"Fail")</f>
        <v>0</v>
      </c>
      <c r="H2" s="7" t="str">
        <f aca="false">IF(F2=D2,"Đã phủ",IF(G2&gt;0,"Có lỗi",IF(E2=0,"Chưa test","Đang test")))</f>
        <v>Đang test</v>
      </c>
    </row>
    <row r="3" customFormat="false" ht="15" hidden="false" customHeight="true" outlineLevel="0" collapsed="false">
      <c r="A3" s="7" t="s">
        <v>112</v>
      </c>
      <c r="B3" s="7" t="s">
        <v>98</v>
      </c>
      <c r="C3" s="7" t="s">
        <v>88</v>
      </c>
      <c r="D3" s="7" t="n">
        <v>11</v>
      </c>
      <c r="E3" s="7" t="n">
        <f aca="false">COUNTIFS('Xác thực'!B:B,A3,'Xác thực'!L:L,"&lt;&gt;Chưa chạy")</f>
        <v>9</v>
      </c>
      <c r="F3" s="7" t="n">
        <f aca="false">COUNTIFS('Xác thực'!B:B,A3,'Xác thực'!L:L,"Pass")</f>
        <v>9</v>
      </c>
      <c r="G3" s="7" t="n">
        <f aca="false">COUNTIFS('Xác thực'!B:B,A3,'Xác thực'!L:L,"Fail")</f>
        <v>0</v>
      </c>
      <c r="H3" s="7" t="str">
        <f aca="false">IF(F3=D3,"Đã phủ",IF(G3&gt;0,"Có lỗi",IF(E3=0,"Chưa test","Đang test")))</f>
        <v>Đang test</v>
      </c>
    </row>
    <row r="4" customFormat="false" ht="15" hidden="false" customHeight="true" outlineLevel="0" collapsed="false">
      <c r="A4" s="7" t="s">
        <v>113</v>
      </c>
      <c r="B4" s="7" t="s">
        <v>98</v>
      </c>
      <c r="C4" s="7" t="s">
        <v>88</v>
      </c>
      <c r="D4" s="7" t="n">
        <v>5</v>
      </c>
      <c r="E4" s="7" t="n">
        <f aca="false">COUNTIFS('Xác thực'!B:B,A4,'Xác thực'!L:L,"&lt;&gt;Chưa chạy")</f>
        <v>2</v>
      </c>
      <c r="F4" s="7" t="n">
        <f aca="false">COUNTIFS('Xác thực'!B:B,A4,'Xác thực'!L:L,"Pass")</f>
        <v>2</v>
      </c>
      <c r="G4" s="7" t="n">
        <f aca="false">COUNTIFS('Xác thực'!B:B,A4,'Xác thực'!L:L,"Fail")</f>
        <v>0</v>
      </c>
      <c r="H4" s="7" t="str">
        <f aca="false">IF(F4=D4,"Đã phủ",IF(G4&gt;0,"Có lỗi",IF(E4=0,"Chưa test","Đang test")))</f>
        <v>Đang test</v>
      </c>
    </row>
    <row r="5" customFormat="false" ht="15" hidden="false" customHeight="true" outlineLevel="0" collapsed="false">
      <c r="A5" s="7" t="s">
        <v>114</v>
      </c>
      <c r="B5" s="7" t="s">
        <v>98</v>
      </c>
      <c r="C5" s="7" t="s">
        <v>88</v>
      </c>
      <c r="D5" s="7" t="n">
        <v>6</v>
      </c>
      <c r="E5" s="7" t="n">
        <f aca="false">COUNTIFS('Xác thực'!B:B,A5,'Xác thực'!L:L,"&lt;&gt;Chưa chạy")</f>
        <v>4</v>
      </c>
      <c r="F5" s="7" t="n">
        <f aca="false">COUNTIFS('Xác thực'!B:B,A5,'Xác thực'!L:L,"Pass")</f>
        <v>4</v>
      </c>
      <c r="G5" s="7" t="n">
        <f aca="false">COUNTIFS('Xác thực'!B:B,A5,'Xác thực'!L:L,"Fail")</f>
        <v>0</v>
      </c>
      <c r="H5" s="7" t="str">
        <f aca="false">IF(F5=D5,"Đã phủ",IF(G5&gt;0,"Có lỗi",IF(E5=0,"Chưa test","Đang test")))</f>
        <v>Đang test</v>
      </c>
    </row>
    <row r="6" customFormat="false" ht="15" hidden="false" customHeight="true" outlineLevel="0" collapsed="false">
      <c r="A6" s="7" t="s">
        <v>115</v>
      </c>
      <c r="B6" s="7" t="s">
        <v>98</v>
      </c>
      <c r="C6" s="7" t="s">
        <v>88</v>
      </c>
      <c r="D6" s="7" t="n">
        <v>5</v>
      </c>
      <c r="E6" s="7" t="n">
        <f aca="false">COUNTIFS('Xác thực'!B:B,A6,'Xác thực'!L:L,"&lt;&gt;Chưa chạy")</f>
        <v>3</v>
      </c>
      <c r="F6" s="7" t="n">
        <f aca="false">COUNTIFS('Xác thực'!B:B,A6,'Xác thực'!L:L,"Pass")</f>
        <v>3</v>
      </c>
      <c r="G6" s="7" t="n">
        <f aca="false">COUNTIFS('Xác thực'!B:B,A6,'Xác thực'!L:L,"Fail")</f>
        <v>0</v>
      </c>
      <c r="H6" s="7" t="str">
        <f aca="false">IF(F6=D6,"Đã phủ",IF(G6&gt;0,"Có lỗi",IF(E6=0,"Chưa test","Đang test")))</f>
        <v>Đang test</v>
      </c>
    </row>
    <row r="7" customFormat="false" ht="15" hidden="false" customHeight="true" outlineLevel="0" collapsed="false">
      <c r="A7" s="7" t="s">
        <v>116</v>
      </c>
      <c r="B7" s="7" t="s">
        <v>98</v>
      </c>
      <c r="C7" s="7" t="s">
        <v>89</v>
      </c>
      <c r="D7" s="7" t="n">
        <v>1</v>
      </c>
      <c r="E7" s="7" t="n">
        <f aca="false">COUNTIFS('Xác thực'!B:B,A7,'Xác thực'!L:L,"&lt;&gt;Chưa chạy")</f>
        <v>0</v>
      </c>
      <c r="F7" s="7" t="n">
        <f aca="false">COUNTIFS('Xác thực'!B:B,A7,'Xác thực'!L:L,"Pass")</f>
        <v>0</v>
      </c>
      <c r="G7" s="7" t="n">
        <f aca="false">COUNTIFS('Xác thực'!B:B,A7,'Xác thực'!L:L,"Fail")</f>
        <v>0</v>
      </c>
      <c r="H7" s="7" t="str">
        <f aca="false">IF(F7=D7,"Đã phủ",IF(G7&gt;0,"Có lỗi",IF(E7=0,"Chưa test","Đang test")))</f>
        <v>Chưa test</v>
      </c>
    </row>
    <row r="8" customFormat="false" ht="15" hidden="false" customHeight="true" outlineLevel="0" collapsed="false">
      <c r="A8" s="7" t="s">
        <v>117</v>
      </c>
      <c r="B8" s="7" t="s">
        <v>98</v>
      </c>
      <c r="C8" s="7" t="s">
        <v>88</v>
      </c>
      <c r="D8" s="7" t="n">
        <v>3</v>
      </c>
      <c r="E8" s="7" t="n">
        <f aca="false">COUNTIFS('Xác thực'!B:B,A8,'Xác thực'!L:L,"&lt;&gt;Chưa chạy")</f>
        <v>2</v>
      </c>
      <c r="F8" s="7" t="n">
        <f aca="false">COUNTIFS('Xác thực'!B:B,A8,'Xác thực'!L:L,"Pass")</f>
        <v>2</v>
      </c>
      <c r="G8" s="7" t="n">
        <f aca="false">COUNTIFS('Xác thực'!B:B,A8,'Xác thực'!L:L,"Fail")</f>
        <v>0</v>
      </c>
      <c r="H8" s="7" t="str">
        <f aca="false">IF(F8=D8,"Đã phủ",IF(G8&gt;0,"Có lỗi",IF(E8=0,"Chưa test","Đang test")))</f>
        <v>Đang test</v>
      </c>
    </row>
    <row r="9" customFormat="false" ht="15" hidden="false" customHeight="true" outlineLevel="0" collapsed="false">
      <c r="A9" s="7" t="s">
        <v>118</v>
      </c>
      <c r="B9" s="7" t="s">
        <v>99</v>
      </c>
      <c r="C9" s="7" t="s">
        <v>88</v>
      </c>
      <c r="D9" s="7" t="n">
        <v>8</v>
      </c>
      <c r="E9" s="7" t="n">
        <f aca="false">COUNTIFS('Ứng viên'!B:B,A9,'Ứng viên'!L:L,"&lt;&gt;Chưa chạy")</f>
        <v>2</v>
      </c>
      <c r="F9" s="7" t="n">
        <f aca="false">COUNTIFS('Ứng viên'!B:B,A9,'Ứng viên'!L:L,"Pass")</f>
        <v>2</v>
      </c>
      <c r="G9" s="7" t="n">
        <f aca="false">COUNTIFS('Ứng viên'!B:B,A9,'Ứng viên'!L:L,"Fail")</f>
        <v>0</v>
      </c>
      <c r="H9" s="7" t="str">
        <f aca="false">IF(F9=D9,"Đã phủ",IF(G9&gt;0,"Có lỗi",IF(E9=0,"Chưa test","Đang test")))</f>
        <v>Đang test</v>
      </c>
    </row>
    <row r="10" customFormat="false" ht="15" hidden="false" customHeight="true" outlineLevel="0" collapsed="false">
      <c r="A10" s="7" t="s">
        <v>119</v>
      </c>
      <c r="B10" s="7" t="s">
        <v>99</v>
      </c>
      <c r="C10" s="7" t="s">
        <v>88</v>
      </c>
      <c r="D10" s="7" t="n">
        <v>6</v>
      </c>
      <c r="E10" s="7" t="n">
        <f aca="false">COUNTIFS('Ứng viên'!B:B,A10,'Ứng viên'!L:L,"&lt;&gt;Chưa chạy")</f>
        <v>4</v>
      </c>
      <c r="F10" s="7" t="n">
        <f aca="false">COUNTIFS('Ứng viên'!B:B,A10,'Ứng viên'!L:L,"Pass")</f>
        <v>4</v>
      </c>
      <c r="G10" s="7" t="n">
        <f aca="false">COUNTIFS('Ứng viên'!B:B,A10,'Ứng viên'!L:L,"Fail")</f>
        <v>0</v>
      </c>
      <c r="H10" s="7" t="str">
        <f aca="false">IF(F10=D10,"Đã phủ",IF(G10&gt;0,"Có lỗi",IF(E10=0,"Chưa test","Đang test")))</f>
        <v>Đang test</v>
      </c>
    </row>
    <row r="11" customFormat="false" ht="15" hidden="false" customHeight="true" outlineLevel="0" collapsed="false">
      <c r="A11" s="7" t="s">
        <v>120</v>
      </c>
      <c r="B11" s="7" t="s">
        <v>99</v>
      </c>
      <c r="C11" s="7" t="s">
        <v>88</v>
      </c>
      <c r="D11" s="7" t="n">
        <v>10</v>
      </c>
      <c r="E11" s="7" t="n">
        <f aca="false">COUNTIFS('Ứng viên'!B:B,A11,'Ứng viên'!L:L,"&lt;&gt;Chưa chạy")</f>
        <v>8</v>
      </c>
      <c r="F11" s="7" t="n">
        <f aca="false">COUNTIFS('Ứng viên'!B:B,A11,'Ứng viên'!L:L,"Pass")</f>
        <v>8</v>
      </c>
      <c r="G11" s="7" t="n">
        <f aca="false">COUNTIFS('Ứng viên'!B:B,A11,'Ứng viên'!L:L,"Fail")</f>
        <v>0</v>
      </c>
      <c r="H11" s="7" t="str">
        <f aca="false">IF(F11=D11,"Đã phủ",IF(G11&gt;0,"Có lỗi",IF(E11=0,"Chưa test","Đang test")))</f>
        <v>Đang test</v>
      </c>
    </row>
    <row r="12" customFormat="false" ht="15" hidden="false" customHeight="true" outlineLevel="0" collapsed="false">
      <c r="A12" s="7" t="s">
        <v>121</v>
      </c>
      <c r="B12" s="7" t="s">
        <v>99</v>
      </c>
      <c r="C12" s="7" t="s">
        <v>88</v>
      </c>
      <c r="D12" s="7" t="n">
        <v>2</v>
      </c>
      <c r="E12" s="7" t="n">
        <f aca="false">COUNTIFS('Ứng viên'!B:B,A12,'Ứng viên'!L:L,"&lt;&gt;Chưa chạy")</f>
        <v>1</v>
      </c>
      <c r="F12" s="7" t="n">
        <f aca="false">COUNTIFS('Ứng viên'!B:B,A12,'Ứng viên'!L:L,"Pass")</f>
        <v>1</v>
      </c>
      <c r="G12" s="7" t="n">
        <f aca="false">COUNTIFS('Ứng viên'!B:B,A12,'Ứng viên'!L:L,"Fail")</f>
        <v>0</v>
      </c>
      <c r="H12" s="7" t="str">
        <f aca="false">IF(F12=D12,"Đã phủ",IF(G12&gt;0,"Có lỗi",IF(E12=0,"Chưa test","Đang test")))</f>
        <v>Đang test</v>
      </c>
    </row>
    <row r="13" customFormat="false" ht="15" hidden="false" customHeight="true" outlineLevel="0" collapsed="false">
      <c r="A13" s="7" t="s">
        <v>122</v>
      </c>
      <c r="B13" s="7" t="s">
        <v>99</v>
      </c>
      <c r="C13" s="7" t="s">
        <v>88</v>
      </c>
      <c r="D13" s="7" t="n">
        <v>12</v>
      </c>
      <c r="E13" s="7" t="n">
        <f aca="false">COUNTIFS('Ứng viên'!B:B,A13,'Ứng viên'!L:L,"&lt;&gt;Chưa chạy")</f>
        <v>5</v>
      </c>
      <c r="F13" s="7" t="n">
        <f aca="false">COUNTIFS('Ứng viên'!B:B,A13,'Ứng viên'!L:L,"Pass")</f>
        <v>5</v>
      </c>
      <c r="G13" s="7" t="n">
        <f aca="false">COUNTIFS('Ứng viên'!B:B,A13,'Ứng viên'!L:L,"Fail")</f>
        <v>0</v>
      </c>
      <c r="H13" s="7" t="str">
        <f aca="false">IF(F13=D13,"Đã phủ",IF(G13&gt;0,"Có lỗi",IF(E13=0,"Chưa test","Đang test")))</f>
        <v>Đang test</v>
      </c>
    </row>
    <row r="14" customFormat="false" ht="15" hidden="false" customHeight="true" outlineLevel="0" collapsed="false">
      <c r="A14" s="7" t="s">
        <v>123</v>
      </c>
      <c r="B14" s="7" t="s">
        <v>99</v>
      </c>
      <c r="C14" s="7" t="s">
        <v>88</v>
      </c>
      <c r="D14" s="7" t="n">
        <v>5</v>
      </c>
      <c r="E14" s="7" t="n">
        <f aca="false">COUNTIFS('Ứng viên'!B:B,A14,'Ứng viên'!L:L,"&lt;&gt;Chưa chạy")</f>
        <v>2</v>
      </c>
      <c r="F14" s="7" t="n">
        <f aca="false">COUNTIFS('Ứng viên'!B:B,A14,'Ứng viên'!L:L,"Pass")</f>
        <v>2</v>
      </c>
      <c r="G14" s="7" t="n">
        <f aca="false">COUNTIFS('Ứng viên'!B:B,A14,'Ứng viên'!L:L,"Fail")</f>
        <v>0</v>
      </c>
      <c r="H14" s="7" t="str">
        <f aca="false">IF(F14=D14,"Đã phủ",IF(G14&gt;0,"Có lỗi",IF(E14=0,"Chưa test","Đang test")))</f>
        <v>Đang test</v>
      </c>
    </row>
    <row r="15" customFormat="false" ht="15" hidden="false" customHeight="true" outlineLevel="0" collapsed="false">
      <c r="A15" s="7" t="s">
        <v>124</v>
      </c>
      <c r="B15" s="7" t="s">
        <v>99</v>
      </c>
      <c r="C15" s="7" t="s">
        <v>88</v>
      </c>
      <c r="D15" s="7" t="n">
        <v>14</v>
      </c>
      <c r="E15" s="7" t="n">
        <f aca="false">COUNTIFS('Ứng viên'!B:B,A15,'Ứng viên'!L:L,"&lt;&gt;Chưa chạy")</f>
        <v>11</v>
      </c>
      <c r="F15" s="7" t="n">
        <f aca="false">COUNTIFS('Ứng viên'!B:B,A15,'Ứng viên'!L:L,"Pass")</f>
        <v>11</v>
      </c>
      <c r="G15" s="7" t="n">
        <f aca="false">COUNTIFS('Ứng viên'!B:B,A15,'Ứng viên'!L:L,"Fail")</f>
        <v>0</v>
      </c>
      <c r="H15" s="7" t="str">
        <f aca="false">IF(F15=D15,"Đã phủ",IF(G15&gt;0,"Có lỗi",IF(E15=0,"Chưa test","Đang test")))</f>
        <v>Đang test</v>
      </c>
    </row>
    <row r="16" customFormat="false" ht="15" hidden="false" customHeight="true" outlineLevel="0" collapsed="false">
      <c r="A16" s="7" t="s">
        <v>125</v>
      </c>
      <c r="B16" s="7" t="s">
        <v>99</v>
      </c>
      <c r="C16" s="7" t="s">
        <v>88</v>
      </c>
      <c r="D16" s="7" t="n">
        <v>6</v>
      </c>
      <c r="E16" s="7" t="n">
        <f aca="false">COUNTIFS('Ứng viên'!B:B,A16,'Ứng viên'!L:L,"&lt;&gt;Chưa chạy")</f>
        <v>5</v>
      </c>
      <c r="F16" s="7" t="n">
        <f aca="false">COUNTIFS('Ứng viên'!B:B,A16,'Ứng viên'!L:L,"Pass")</f>
        <v>5</v>
      </c>
      <c r="G16" s="7" t="n">
        <f aca="false">COUNTIFS('Ứng viên'!B:B,A16,'Ứng viên'!L:L,"Fail")</f>
        <v>0</v>
      </c>
      <c r="H16" s="7" t="str">
        <f aca="false">IF(F16=D16,"Đã phủ",IF(G16&gt;0,"Có lỗi",IF(E16=0,"Chưa test","Đang test")))</f>
        <v>Đang test</v>
      </c>
    </row>
    <row r="17" customFormat="false" ht="15" hidden="false" customHeight="true" outlineLevel="0" collapsed="false">
      <c r="A17" s="7" t="s">
        <v>126</v>
      </c>
      <c r="B17" s="7" t="s">
        <v>99</v>
      </c>
      <c r="C17" s="7" t="s">
        <v>89</v>
      </c>
      <c r="D17" s="7" t="n">
        <v>4</v>
      </c>
      <c r="E17" s="7" t="n">
        <f aca="false">COUNTIFS('Ứng viên'!B:B,A17,'Ứng viên'!L:L,"&lt;&gt;Chưa chạy")</f>
        <v>0</v>
      </c>
      <c r="F17" s="7" t="n">
        <f aca="false">COUNTIFS('Ứng viên'!B:B,A17,'Ứng viên'!L:L,"Pass")</f>
        <v>0</v>
      </c>
      <c r="G17" s="7" t="n">
        <f aca="false">COUNTIFS('Ứng viên'!B:B,A17,'Ứng viên'!L:L,"Fail")</f>
        <v>0</v>
      </c>
      <c r="H17" s="7" t="str">
        <f aca="false">IF(F17=D17,"Đã phủ",IF(G17&gt;0,"Có lỗi",IF(E17=0,"Chưa test","Đang test")))</f>
        <v>Chưa test</v>
      </c>
    </row>
    <row r="18" customFormat="false" ht="15" hidden="false" customHeight="true" outlineLevel="0" collapsed="false">
      <c r="A18" s="7" t="s">
        <v>127</v>
      </c>
      <c r="B18" s="7" t="s">
        <v>99</v>
      </c>
      <c r="C18" s="7" t="s">
        <v>89</v>
      </c>
      <c r="D18" s="7" t="n">
        <v>6</v>
      </c>
      <c r="E18" s="7" t="n">
        <f aca="false">COUNTIFS('Ứng viên'!B:B,A18,'Ứng viên'!L:L,"&lt;&gt;Chưa chạy")</f>
        <v>0</v>
      </c>
      <c r="F18" s="7" t="n">
        <f aca="false">COUNTIFS('Ứng viên'!B:B,A18,'Ứng viên'!L:L,"Pass")</f>
        <v>0</v>
      </c>
      <c r="G18" s="7" t="n">
        <f aca="false">COUNTIFS('Ứng viên'!B:B,A18,'Ứng viên'!L:L,"Fail")</f>
        <v>0</v>
      </c>
      <c r="H18" s="7" t="str">
        <f aca="false">IF(F18=D18,"Đã phủ",IF(G18&gt;0,"Có lỗi",IF(E18=0,"Chưa test","Đang test")))</f>
        <v>Chưa test</v>
      </c>
    </row>
    <row r="19" customFormat="false" ht="15" hidden="false" customHeight="true" outlineLevel="0" collapsed="false">
      <c r="A19" s="7" t="s">
        <v>128</v>
      </c>
      <c r="B19" s="7" t="s">
        <v>99</v>
      </c>
      <c r="C19" s="7" t="s">
        <v>88</v>
      </c>
      <c r="D19" s="7" t="n">
        <v>3</v>
      </c>
      <c r="E19" s="7" t="n">
        <f aca="false">COUNTIFS('Ứng viên'!B:B,A19,'Ứng viên'!L:L,"&lt;&gt;Chưa chạy")</f>
        <v>1</v>
      </c>
      <c r="F19" s="7" t="n">
        <f aca="false">COUNTIFS('Ứng viên'!B:B,A19,'Ứng viên'!L:L,"Pass")</f>
        <v>1</v>
      </c>
      <c r="G19" s="7" t="n">
        <f aca="false">COUNTIFS('Ứng viên'!B:B,A19,'Ứng viên'!L:L,"Fail")</f>
        <v>0</v>
      </c>
      <c r="H19" s="7" t="str">
        <f aca="false">IF(F19=D19,"Đã phủ",IF(G19&gt;0,"Có lỗi",IF(E19=0,"Chưa test","Đang test")))</f>
        <v>Đang test</v>
      </c>
    </row>
    <row r="20" customFormat="false" ht="15" hidden="false" customHeight="true" outlineLevel="0" collapsed="false">
      <c r="A20" s="7" t="s">
        <v>129</v>
      </c>
      <c r="B20" s="7" t="s">
        <v>99</v>
      </c>
      <c r="C20" s="7" t="s">
        <v>89</v>
      </c>
      <c r="D20" s="7" t="n">
        <v>4</v>
      </c>
      <c r="E20" s="7" t="n">
        <f aca="false">COUNTIFS('Ứng viên'!B:B,A20,'Ứng viên'!L:L,"&lt;&gt;Chưa chạy")</f>
        <v>0</v>
      </c>
      <c r="F20" s="7" t="n">
        <f aca="false">COUNTIFS('Ứng viên'!B:B,A20,'Ứng viên'!L:L,"Pass")</f>
        <v>0</v>
      </c>
      <c r="G20" s="7" t="n">
        <f aca="false">COUNTIFS('Ứng viên'!B:B,A20,'Ứng viên'!L:L,"Fail")</f>
        <v>0</v>
      </c>
      <c r="H20" s="7" t="str">
        <f aca="false">IF(F20=D20,"Đã phủ",IF(G20&gt;0,"Có lỗi",IF(E20=0,"Chưa test","Đang test")))</f>
        <v>Chưa test</v>
      </c>
    </row>
    <row r="21" customFormat="false" ht="15" hidden="false" customHeight="true" outlineLevel="0" collapsed="false">
      <c r="A21" s="7" t="s">
        <v>130</v>
      </c>
      <c r="B21" s="7" t="s">
        <v>99</v>
      </c>
      <c r="C21" s="7" t="s">
        <v>89</v>
      </c>
      <c r="D21" s="7" t="n">
        <v>9</v>
      </c>
      <c r="E21" s="7" t="n">
        <f aca="false">COUNTIFS('Ứng viên'!B:B,A21,'Ứng viên'!L:L,"&lt;&gt;Chưa chạy")</f>
        <v>0</v>
      </c>
      <c r="F21" s="7" t="n">
        <f aca="false">COUNTIFS('Ứng viên'!B:B,A21,'Ứng viên'!L:L,"Pass")</f>
        <v>0</v>
      </c>
      <c r="G21" s="7" t="n">
        <f aca="false">COUNTIFS('Ứng viên'!B:B,A21,'Ứng viên'!L:L,"Fail")</f>
        <v>0</v>
      </c>
      <c r="H21" s="7" t="str">
        <f aca="false">IF(F21=D21,"Đã phủ",IF(G21&gt;0,"Có lỗi",IF(E21=0,"Chưa test","Đang test")))</f>
        <v>Chưa test</v>
      </c>
    </row>
    <row r="22" customFormat="false" ht="15" hidden="false" customHeight="true" outlineLevel="0" collapsed="false">
      <c r="A22" s="7" t="s">
        <v>131</v>
      </c>
      <c r="B22" s="7" t="s">
        <v>99</v>
      </c>
      <c r="C22" s="7" t="s">
        <v>89</v>
      </c>
      <c r="D22" s="7" t="n">
        <v>8</v>
      </c>
      <c r="E22" s="7" t="n">
        <f aca="false">COUNTIFS('Ứng viên'!B:B,A22,'Ứng viên'!L:L,"&lt;&gt;Chưa chạy")</f>
        <v>4</v>
      </c>
      <c r="F22" s="7" t="n">
        <f aca="false">COUNTIFS('Ứng viên'!B:B,A22,'Ứng viên'!L:L,"Pass")</f>
        <v>4</v>
      </c>
      <c r="G22" s="7" t="n">
        <f aca="false">COUNTIFS('Ứng viên'!B:B,A22,'Ứng viên'!L:L,"Fail")</f>
        <v>0</v>
      </c>
      <c r="H22" s="7" t="str">
        <f aca="false">IF(F22=D22,"Đã phủ",IF(G22&gt;0,"Có lỗi",IF(E22=0,"Chưa test","Đang test")))</f>
        <v>Đang test</v>
      </c>
    </row>
    <row r="23" customFormat="false" ht="15" hidden="false" customHeight="true" outlineLevel="0" collapsed="false">
      <c r="A23" s="7" t="s">
        <v>132</v>
      </c>
      <c r="B23" s="7" t="s">
        <v>99</v>
      </c>
      <c r="C23" s="7" t="s">
        <v>88</v>
      </c>
      <c r="D23" s="7" t="n">
        <v>9</v>
      </c>
      <c r="E23" s="7" t="n">
        <f aca="false">COUNTIFS('Ứng viên'!B:B,A23,'Ứng viên'!L:L,"&lt;&gt;Chưa chạy")</f>
        <v>6</v>
      </c>
      <c r="F23" s="7" t="n">
        <f aca="false">COUNTIFS('Ứng viên'!B:B,A23,'Ứng viên'!L:L,"Pass")</f>
        <v>6</v>
      </c>
      <c r="G23" s="7" t="n">
        <f aca="false">COUNTIFS('Ứng viên'!B:B,A23,'Ứng viên'!L:L,"Fail")</f>
        <v>0</v>
      </c>
      <c r="H23" s="7" t="str">
        <f aca="false">IF(F23=D23,"Đã phủ",IF(G23&gt;0,"Có lỗi",IF(E23=0,"Chưa test","Đang test")))</f>
        <v>Đang test</v>
      </c>
    </row>
    <row r="24" customFormat="false" ht="15" hidden="false" customHeight="true" outlineLevel="0" collapsed="false">
      <c r="A24" s="7" t="s">
        <v>133</v>
      </c>
      <c r="B24" s="7" t="s">
        <v>99</v>
      </c>
      <c r="C24" s="7" t="s">
        <v>89</v>
      </c>
      <c r="D24" s="7" t="n">
        <v>9</v>
      </c>
      <c r="E24" s="7" t="n">
        <f aca="false">COUNTIFS('Ứng viên'!B:B,A24,'Ứng viên'!L:L,"&lt;&gt;Chưa chạy")</f>
        <v>4</v>
      </c>
      <c r="F24" s="7" t="n">
        <f aca="false">COUNTIFS('Ứng viên'!B:B,A24,'Ứng viên'!L:L,"Pass")</f>
        <v>4</v>
      </c>
      <c r="G24" s="7" t="n">
        <f aca="false">COUNTIFS('Ứng viên'!B:B,A24,'Ứng viên'!L:L,"Fail")</f>
        <v>0</v>
      </c>
      <c r="H24" s="7" t="str">
        <f aca="false">IF(F24=D24,"Đã phủ",IF(G24&gt;0,"Có lỗi",IF(E24=0,"Chưa test","Đang test")))</f>
        <v>Đang test</v>
      </c>
    </row>
    <row r="25" customFormat="false" ht="15" hidden="false" customHeight="true" outlineLevel="0" collapsed="false">
      <c r="A25" s="7" t="s">
        <v>134</v>
      </c>
      <c r="B25" s="7" t="s">
        <v>99</v>
      </c>
      <c r="C25" s="7" t="s">
        <v>88</v>
      </c>
      <c r="D25" s="7" t="n">
        <v>6</v>
      </c>
      <c r="E25" s="7" t="n">
        <f aca="false">COUNTIFS('Ứng viên'!B:B,A25,'Ứng viên'!L:L,"&lt;&gt;Chưa chạy")</f>
        <v>5</v>
      </c>
      <c r="F25" s="7" t="n">
        <f aca="false">COUNTIFS('Ứng viên'!B:B,A25,'Ứng viên'!L:L,"Pass")</f>
        <v>5</v>
      </c>
      <c r="G25" s="7" t="n">
        <f aca="false">COUNTIFS('Ứng viên'!B:B,A25,'Ứng viên'!L:L,"Fail")</f>
        <v>0</v>
      </c>
      <c r="H25" s="7" t="str">
        <f aca="false">IF(F25=D25,"Đã phủ",IF(G25&gt;0,"Có lỗi",IF(E25=0,"Chưa test","Đang test")))</f>
        <v>Đang test</v>
      </c>
    </row>
    <row r="26" customFormat="false" ht="15" hidden="false" customHeight="true" outlineLevel="0" collapsed="false">
      <c r="A26" s="7" t="s">
        <v>135</v>
      </c>
      <c r="B26" s="7" t="s">
        <v>99</v>
      </c>
      <c r="C26" s="7" t="s">
        <v>89</v>
      </c>
      <c r="D26" s="7" t="n">
        <v>4</v>
      </c>
      <c r="E26" s="7" t="n">
        <f aca="false">COUNTIFS('Ứng viên'!B:B,A26,'Ứng viên'!L:L,"&lt;&gt;Chưa chạy")</f>
        <v>4</v>
      </c>
      <c r="F26" s="7" t="n">
        <f aca="false">COUNTIFS('Ứng viên'!B:B,A26,'Ứng viên'!L:L,"Pass")</f>
        <v>1</v>
      </c>
      <c r="G26" s="7" t="n">
        <f aca="false">COUNTIFS('Ứng viên'!B:B,A26,'Ứng viên'!L:L,"Fail")</f>
        <v>0</v>
      </c>
      <c r="H26" s="7" t="str">
        <f aca="false">IF(F26=D26,"Đã phủ",IF(G26&gt;0,"Có lỗi",IF(E26=0,"Chưa test","Đang test")))</f>
        <v>Đang test</v>
      </c>
    </row>
    <row r="27" customFormat="false" ht="15" hidden="false" customHeight="true" outlineLevel="0" collapsed="false">
      <c r="A27" s="7" t="s">
        <v>136</v>
      </c>
      <c r="B27" s="7" t="s">
        <v>99</v>
      </c>
      <c r="C27" s="7" t="s">
        <v>88</v>
      </c>
      <c r="D27" s="7" t="n">
        <v>21</v>
      </c>
      <c r="E27" s="7" t="n">
        <f aca="false">COUNTIFS('Ứng viên'!B:B,A27,'Ứng viên'!L:L,"&lt;&gt;Chưa chạy")</f>
        <v>12</v>
      </c>
      <c r="F27" s="7" t="n">
        <f aca="false">COUNTIFS('Ứng viên'!B:B,A27,'Ứng viên'!L:L,"Pass")</f>
        <v>12</v>
      </c>
      <c r="G27" s="7" t="n">
        <f aca="false">COUNTIFS('Ứng viên'!B:B,A27,'Ứng viên'!L:L,"Fail")</f>
        <v>0</v>
      </c>
      <c r="H27" s="7" t="str">
        <f aca="false">IF(F27=D27,"Đã phủ",IF(G27&gt;0,"Có lỗi",IF(E27=0,"Chưa test","Đang test")))</f>
        <v>Đang test</v>
      </c>
    </row>
    <row r="28" customFormat="false" ht="15" hidden="false" customHeight="true" outlineLevel="0" collapsed="false">
      <c r="A28" s="7" t="s">
        <v>137</v>
      </c>
      <c r="B28" s="7" t="s">
        <v>100</v>
      </c>
      <c r="C28" s="7" t="s">
        <v>88</v>
      </c>
      <c r="D28" s="7" t="n">
        <v>8</v>
      </c>
      <c r="E28" s="7" t="n">
        <f aca="false">COUNTIFS('Nhà tuyển dụng'!B:B,A28,'Nhà tuyển dụng'!L:L,"&lt;&gt;Chưa chạy")</f>
        <v>3</v>
      </c>
      <c r="F28" s="7" t="n">
        <f aca="false">COUNTIFS('Nhà tuyển dụng'!B:B,A28,'Nhà tuyển dụng'!L:L,"Pass")</f>
        <v>3</v>
      </c>
      <c r="G28" s="7" t="n">
        <f aca="false">COUNTIFS('Nhà tuyển dụng'!B:B,A28,'Nhà tuyển dụng'!L:L,"Fail")</f>
        <v>0</v>
      </c>
      <c r="H28" s="7" t="str">
        <f aca="false">IF(F28=D28,"Đã phủ",IF(G28&gt;0,"Có lỗi",IF(E28=0,"Chưa test","Đang test")))</f>
        <v>Đang test</v>
      </c>
    </row>
    <row r="29" customFormat="false" ht="15" hidden="false" customHeight="true" outlineLevel="0" collapsed="false">
      <c r="A29" s="7" t="s">
        <v>138</v>
      </c>
      <c r="B29" s="7" t="s">
        <v>100</v>
      </c>
      <c r="C29" s="7" t="s">
        <v>88</v>
      </c>
      <c r="D29" s="7" t="n">
        <v>5</v>
      </c>
      <c r="E29" s="7" t="n">
        <f aca="false">COUNTIFS('Nhà tuyển dụng'!B:B,A29,'Nhà tuyển dụng'!L:L,"&lt;&gt;Chưa chạy")</f>
        <v>3</v>
      </c>
      <c r="F29" s="7" t="n">
        <f aca="false">COUNTIFS('Nhà tuyển dụng'!B:B,A29,'Nhà tuyển dụng'!L:L,"Pass")</f>
        <v>3</v>
      </c>
      <c r="G29" s="7" t="n">
        <f aca="false">COUNTIFS('Nhà tuyển dụng'!B:B,A29,'Nhà tuyển dụng'!L:L,"Fail")</f>
        <v>0</v>
      </c>
      <c r="H29" s="7" t="str">
        <f aca="false">IF(F29=D29,"Đã phủ",IF(G29&gt;0,"Có lỗi",IF(E29=0,"Chưa test","Đang test")))</f>
        <v>Đang test</v>
      </c>
    </row>
    <row r="30" customFormat="false" ht="15" hidden="false" customHeight="true" outlineLevel="0" collapsed="false">
      <c r="A30" s="7" t="s">
        <v>139</v>
      </c>
      <c r="B30" s="7" t="s">
        <v>100</v>
      </c>
      <c r="C30" s="7" t="s">
        <v>88</v>
      </c>
      <c r="D30" s="7" t="n">
        <v>13</v>
      </c>
      <c r="E30" s="7" t="n">
        <f aca="false">COUNTIFS('Nhà tuyển dụng'!B:B,A30,'Nhà tuyển dụng'!L:L,"&lt;&gt;Chưa chạy")</f>
        <v>11</v>
      </c>
      <c r="F30" s="7" t="n">
        <f aca="false">COUNTIFS('Nhà tuyển dụng'!B:B,A30,'Nhà tuyển dụng'!L:L,"Pass")</f>
        <v>11</v>
      </c>
      <c r="G30" s="7" t="n">
        <f aca="false">COUNTIFS('Nhà tuyển dụng'!B:B,A30,'Nhà tuyển dụng'!L:L,"Fail")</f>
        <v>0</v>
      </c>
      <c r="H30" s="7" t="str">
        <f aca="false">IF(F30=D30,"Đã phủ",IF(G30&gt;0,"Có lỗi",IF(E30=0,"Chưa test","Đang test")))</f>
        <v>Đang test</v>
      </c>
    </row>
    <row r="31" customFormat="false" ht="15" hidden="false" customHeight="true" outlineLevel="0" collapsed="false">
      <c r="A31" s="7" t="s">
        <v>140</v>
      </c>
      <c r="B31" s="7" t="s">
        <v>100</v>
      </c>
      <c r="C31" s="7" t="s">
        <v>88</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141</v>
      </c>
      <c r="B32" s="7" t="s">
        <v>100</v>
      </c>
      <c r="C32" s="7" t="s">
        <v>88</v>
      </c>
      <c r="D32" s="7" t="n">
        <v>12</v>
      </c>
      <c r="E32" s="7" t="n">
        <f aca="false">COUNTIFS('Nhà tuyển dụng'!B:B,A32,'Nhà tuyển dụng'!L:L,"&lt;&gt;Chưa chạy")</f>
        <v>9</v>
      </c>
      <c r="F32" s="7" t="n">
        <f aca="false">COUNTIFS('Nhà tuyển dụng'!B:B,A32,'Nhà tuyển dụng'!L:L,"Pass")</f>
        <v>8</v>
      </c>
      <c r="G32" s="7" t="n">
        <f aca="false">COUNTIFS('Nhà tuyển dụng'!B:B,A32,'Nhà tuyển dụng'!L:L,"Fail")</f>
        <v>0</v>
      </c>
      <c r="H32" s="7" t="str">
        <f aca="false">IF(F32=D32,"Đã phủ",IF(G32&gt;0,"Có lỗi",IF(E32=0,"Chưa test","Đang test")))</f>
        <v>Đang test</v>
      </c>
    </row>
    <row r="33" customFormat="false" ht="15" hidden="false" customHeight="true" outlineLevel="0" collapsed="false">
      <c r="A33" s="7" t="s">
        <v>142</v>
      </c>
      <c r="B33" s="7" t="s">
        <v>100</v>
      </c>
      <c r="C33" s="7" t="s">
        <v>88</v>
      </c>
      <c r="D33" s="7" t="n">
        <v>5</v>
      </c>
      <c r="E33" s="7" t="n">
        <f aca="false">COUNTIFS('Nhà tuyển dụng'!B:B,A33,'Nhà tuyển dụng'!L:L,"&lt;&gt;Chưa chạy")</f>
        <v>4</v>
      </c>
      <c r="F33" s="7" t="n">
        <f aca="false">COUNTIFS('Nhà tuyển dụng'!B:B,A33,'Nhà tuyển dụng'!L:L,"Pass")</f>
        <v>4</v>
      </c>
      <c r="G33" s="7" t="n">
        <f aca="false">COUNTIFS('Nhà tuyển dụng'!B:B,A33,'Nhà tuyển dụng'!L:L,"Fail")</f>
        <v>0</v>
      </c>
      <c r="H33" s="7" t="str">
        <f aca="false">IF(F33=D33,"Đã phủ",IF(G33&gt;0,"Có lỗi",IF(E33=0,"Chưa test","Đang test")))</f>
        <v>Đang test</v>
      </c>
    </row>
    <row r="34" customFormat="false" ht="15" hidden="false" customHeight="true" outlineLevel="0" collapsed="false">
      <c r="A34" s="7" t="s">
        <v>143</v>
      </c>
      <c r="B34" s="7" t="s">
        <v>100</v>
      </c>
      <c r="C34" s="7" t="s">
        <v>88</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144</v>
      </c>
      <c r="B35" s="7" t="s">
        <v>100</v>
      </c>
      <c r="C35" s="7" t="s">
        <v>88</v>
      </c>
      <c r="D35" s="7" t="n">
        <v>2</v>
      </c>
      <c r="E35" s="7" t="n">
        <f aca="false">COUNTIFS('Nhà tuyển dụng'!B:B,A35,'Nhà tuyển dụng'!L:L,"&lt;&gt;Chưa chạy")</f>
        <v>1</v>
      </c>
      <c r="F35" s="7" t="n">
        <f aca="false">COUNTIFS('Nhà tuyển dụng'!B:B,A35,'Nhà tuyển dụng'!L:L,"Pass")</f>
        <v>1</v>
      </c>
      <c r="G35" s="7" t="n">
        <f aca="false">COUNTIFS('Nhà tuyển dụng'!B:B,A35,'Nhà tuyển dụng'!L:L,"Fail")</f>
        <v>0</v>
      </c>
      <c r="H35" s="7" t="str">
        <f aca="false">IF(F35=D35,"Đã phủ",IF(G35&gt;0,"Có lỗi",IF(E35=0,"Chưa test","Đang test")))</f>
        <v>Đang test</v>
      </c>
    </row>
    <row r="36" customFormat="false" ht="15" hidden="false" customHeight="true" outlineLevel="0" collapsed="false">
      <c r="A36" s="7" t="s">
        <v>145</v>
      </c>
      <c r="B36" s="7" t="s">
        <v>100</v>
      </c>
      <c r="C36" s="7" t="s">
        <v>89</v>
      </c>
      <c r="D36" s="7" t="n">
        <v>2</v>
      </c>
      <c r="E36" s="7" t="n">
        <f aca="false">COUNTIFS('Nhà tuyển dụng'!B:B,A36,'Nhà tuyển dụng'!L:L,"&lt;&gt;Chưa chạy")</f>
        <v>0</v>
      </c>
      <c r="F36" s="7" t="n">
        <f aca="false">COUNTIFS('Nhà tuyển dụng'!B:B,A36,'Nhà tuyển dụng'!L:L,"Pass")</f>
        <v>0</v>
      </c>
      <c r="G36" s="7" t="n">
        <f aca="false">COUNTIFS('Nhà tuyển dụng'!B:B,A36,'Nhà tuyển dụng'!L:L,"Fail")</f>
        <v>0</v>
      </c>
      <c r="H36" s="7" t="str">
        <f aca="false">IF(F36=D36,"Đã phủ",IF(G36&gt;0,"Có lỗi",IF(E36=0,"Chưa test","Đang test")))</f>
        <v>Chưa test</v>
      </c>
    </row>
    <row r="37" customFormat="false" ht="15" hidden="false" customHeight="true" outlineLevel="0" collapsed="false">
      <c r="A37" s="7" t="s">
        <v>146</v>
      </c>
      <c r="B37" s="7" t="s">
        <v>100</v>
      </c>
      <c r="C37" s="7" t="s">
        <v>89</v>
      </c>
      <c r="D37" s="7" t="n">
        <v>3</v>
      </c>
      <c r="E37" s="7" t="n">
        <f aca="false">COUNTIFS('Nhà tuyển dụng'!B:B,A37,'Nhà tuyển dụng'!L:L,"&lt;&gt;Chưa chạy")</f>
        <v>0</v>
      </c>
      <c r="F37" s="7" t="n">
        <f aca="false">COUNTIFS('Nhà tuyển dụng'!B:B,A37,'Nhà tuyển dụng'!L:L,"Pass")</f>
        <v>0</v>
      </c>
      <c r="G37" s="7" t="n">
        <f aca="false">COUNTIFS('Nhà tuyển dụng'!B:B,A37,'Nhà tuyển dụng'!L:L,"Fail")</f>
        <v>0</v>
      </c>
      <c r="H37" s="7" t="str">
        <f aca="false">IF(F37=D37,"Đã phủ",IF(G37&gt;0,"Có lỗi",IF(E37=0,"Chưa test","Đang test")))</f>
        <v>Chưa test</v>
      </c>
    </row>
    <row r="38" customFormat="false" ht="15" hidden="false" customHeight="true" outlineLevel="0" collapsed="false">
      <c r="A38" s="7" t="s">
        <v>147</v>
      </c>
      <c r="B38" s="7" t="s">
        <v>100</v>
      </c>
      <c r="C38" s="7" t="s">
        <v>90</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148</v>
      </c>
      <c r="B39" s="7" t="s">
        <v>100</v>
      </c>
      <c r="C39" s="7" t="s">
        <v>88</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149</v>
      </c>
      <c r="B40" s="7" t="s">
        <v>100</v>
      </c>
      <c r="C40" s="7" t="s">
        <v>89</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150</v>
      </c>
      <c r="B41" s="7" t="s">
        <v>100</v>
      </c>
      <c r="C41" s="7" t="s">
        <v>89</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151</v>
      </c>
      <c r="B42" s="7" t="s">
        <v>100</v>
      </c>
      <c r="C42" s="7" t="s">
        <v>89</v>
      </c>
      <c r="D42" s="7" t="n">
        <v>5</v>
      </c>
      <c r="E42" s="7" t="n">
        <f aca="false">COUNTIFS('Nhà tuyển dụng'!B:B,A42,'Nhà tuyển dụng'!L:L,"&lt;&gt;Chưa chạy")</f>
        <v>2</v>
      </c>
      <c r="F42" s="7" t="n">
        <f aca="false">COUNTIFS('Nhà tuyển dụng'!B:B,A42,'Nhà tuyển dụng'!L:L,"Pass")</f>
        <v>1</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152</v>
      </c>
      <c r="B43" s="7" t="s">
        <v>100</v>
      </c>
      <c r="C43" s="7" t="s">
        <v>88</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153</v>
      </c>
      <c r="B44" s="7" t="s">
        <v>101</v>
      </c>
      <c r="C44" s="7" t="s">
        <v>88</v>
      </c>
      <c r="D44" s="7" t="n">
        <v>3</v>
      </c>
      <c r="E44" s="7" t="n">
        <f aca="false">COUNTIFS(Admin!B:B,A44,Admin!L:L,"&lt;&gt;Chưa chạy")</f>
        <v>2</v>
      </c>
      <c r="F44" s="7" t="n">
        <f aca="false">COUNTIFS(Admin!B:B,A44,Admin!L:L,"Pass")</f>
        <v>2</v>
      </c>
      <c r="G44" s="7" t="n">
        <f aca="false">COUNTIFS(Admin!B:B,A44,Admin!L:L,"Fail")</f>
        <v>0</v>
      </c>
      <c r="H44" s="7" t="str">
        <f aca="false">IF(F44=D44,"Đã phủ",IF(G44&gt;0,"Có lỗi",IF(E44=0,"Chưa test","Đang test")))</f>
        <v>Đang test</v>
      </c>
    </row>
    <row r="45" customFormat="false" ht="15" hidden="false" customHeight="true" outlineLevel="0" collapsed="false">
      <c r="A45" s="7" t="s">
        <v>154</v>
      </c>
      <c r="B45" s="7" t="s">
        <v>101</v>
      </c>
      <c r="C45" s="7" t="s">
        <v>89</v>
      </c>
      <c r="D45" s="7" t="n">
        <v>1</v>
      </c>
      <c r="E45" s="7" t="n">
        <f aca="false">COUNTIFS(Admin!B:B,A45,Admin!L:L,"&lt;&gt;Chưa chạy")</f>
        <v>0</v>
      </c>
      <c r="F45" s="7" t="n">
        <f aca="false">COUNTIFS(Admin!B:B,A45,Admin!L:L,"Pass")</f>
        <v>0</v>
      </c>
      <c r="G45" s="7" t="n">
        <f aca="false">COUNTIFS(Admin!B:B,A45,Admin!L:L,"Fail")</f>
        <v>0</v>
      </c>
      <c r="H45" s="7" t="str">
        <f aca="false">IF(F45=D45,"Đã phủ",IF(G45&gt;0,"Có lỗi",IF(E45=0,"Chưa test","Đang test")))</f>
        <v>Chưa test</v>
      </c>
    </row>
    <row r="46" customFormat="false" ht="15" hidden="false" customHeight="true" outlineLevel="0" collapsed="false">
      <c r="A46" s="7" t="s">
        <v>155</v>
      </c>
      <c r="B46" s="7" t="s">
        <v>101</v>
      </c>
      <c r="C46" s="7" t="s">
        <v>88</v>
      </c>
      <c r="D46" s="7" t="n">
        <v>6</v>
      </c>
      <c r="E46" s="7" t="n">
        <f aca="false">COUNTIFS(Admin!B:B,A46,Admin!L:L,"&lt;&gt;Chưa chạy")</f>
        <v>4</v>
      </c>
      <c r="F46" s="7" t="n">
        <f aca="false">COUNTIFS(Admin!B:B,A46,Admin!L:L,"Pass")</f>
        <v>4</v>
      </c>
      <c r="G46" s="7" t="n">
        <f aca="false">COUNTIFS(Admin!B:B,A46,Admin!L:L,"Fail")</f>
        <v>0</v>
      </c>
      <c r="H46" s="7" t="str">
        <f aca="false">IF(F46=D46,"Đã phủ",IF(G46&gt;0,"Có lỗi",IF(E46=0,"Chưa test","Đang test")))</f>
        <v>Đang test</v>
      </c>
    </row>
    <row r="47" customFormat="false" ht="15" hidden="false" customHeight="true" outlineLevel="0" collapsed="false">
      <c r="A47" s="7" t="s">
        <v>156</v>
      </c>
      <c r="B47" s="7" t="s">
        <v>101</v>
      </c>
      <c r="C47" s="7" t="s">
        <v>88</v>
      </c>
      <c r="D47" s="7" t="n">
        <v>4</v>
      </c>
      <c r="E47" s="7" t="n">
        <f aca="false">COUNTIFS(Admin!B:B,A47,Admin!L:L,"&lt;&gt;Chưa chạy")</f>
        <v>2</v>
      </c>
      <c r="F47" s="7" t="n">
        <f aca="false">COUNTIFS(Admin!B:B,A47,Admin!L:L,"Pass")</f>
        <v>2</v>
      </c>
      <c r="G47" s="7" t="n">
        <f aca="false">COUNTIFS(Admin!B:B,A47,Admin!L:L,"Fail")</f>
        <v>0</v>
      </c>
      <c r="H47" s="7" t="str">
        <f aca="false">IF(F47=D47,"Đã phủ",IF(G47&gt;0,"Có lỗi",IF(E47=0,"Chưa test","Đang test")))</f>
        <v>Đang test</v>
      </c>
    </row>
    <row r="48" customFormat="false" ht="15" hidden="false" customHeight="true" outlineLevel="0" collapsed="false">
      <c r="A48" s="7" t="s">
        <v>157</v>
      </c>
      <c r="B48" s="7" t="s">
        <v>101</v>
      </c>
      <c r="C48" s="7" t="s">
        <v>88</v>
      </c>
      <c r="D48" s="7" t="n">
        <v>7</v>
      </c>
      <c r="E48" s="7" t="n">
        <f aca="false">COUNTIFS(Admin!B:B,A48,Admin!L:L,"&lt;&gt;Chưa chạy")</f>
        <v>3</v>
      </c>
      <c r="F48" s="7" t="n">
        <f aca="false">COUNTIFS(Admin!B:B,A48,Admin!L:L,"Pass")</f>
        <v>3</v>
      </c>
      <c r="G48" s="7" t="n">
        <f aca="false">COUNTIFS(Admin!B:B,A48,Admin!L:L,"Fail")</f>
        <v>0</v>
      </c>
      <c r="H48" s="7" t="str">
        <f aca="false">IF(F48=D48,"Đã phủ",IF(G48&gt;0,"Có lỗi",IF(E48=0,"Chưa test","Đang test")))</f>
        <v>Đang test</v>
      </c>
    </row>
    <row r="49" customFormat="false" ht="15" hidden="false" customHeight="true" outlineLevel="0" collapsed="false">
      <c r="A49" s="7" t="s">
        <v>158</v>
      </c>
      <c r="B49" s="7" t="s">
        <v>101</v>
      </c>
      <c r="C49" s="7" t="s">
        <v>88</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159</v>
      </c>
      <c r="B50" s="7" t="s">
        <v>101</v>
      </c>
      <c r="C50" s="7" t="s">
        <v>88</v>
      </c>
      <c r="D50" s="7" t="n">
        <v>5</v>
      </c>
      <c r="E50" s="7" t="n">
        <f aca="false">COUNTIFS(Admin!B:B,A50,Admin!L:L,"&lt;&gt;Chưa chạy")</f>
        <v>2</v>
      </c>
      <c r="F50" s="7" t="n">
        <f aca="false">COUNTIFS(Admin!B:B,A50,Admin!L:L,"Pass")</f>
        <v>2</v>
      </c>
      <c r="G50" s="7" t="n">
        <f aca="false">COUNTIFS(Admin!B:B,A50,Admin!L:L,"Fail")</f>
        <v>0</v>
      </c>
      <c r="H50" s="7" t="str">
        <f aca="false">IF(F50=D50,"Đã phủ",IF(G50&gt;0,"Có lỗi",IF(E50=0,"Chưa test","Đang test")))</f>
        <v>Đang test</v>
      </c>
    </row>
    <row r="51" customFormat="false" ht="15" hidden="false" customHeight="true" outlineLevel="0" collapsed="false">
      <c r="A51" s="7" t="s">
        <v>160</v>
      </c>
      <c r="B51" s="7" t="s">
        <v>101</v>
      </c>
      <c r="C51" s="7" t="s">
        <v>89</v>
      </c>
      <c r="D51" s="7" t="n">
        <v>5</v>
      </c>
      <c r="E51" s="7" t="n">
        <f aca="false">COUNTIFS(Admin!B:B,A51,Admin!L:L,"&lt;&gt;Chưa chạy")</f>
        <v>0</v>
      </c>
      <c r="F51" s="7" t="n">
        <f aca="false">COUNTIFS(Admin!B:B,A51,Admin!L:L,"Pass")</f>
        <v>0</v>
      </c>
      <c r="G51" s="7" t="n">
        <f aca="false">COUNTIFS(Admin!B:B,A51,Admin!L:L,"Fail")</f>
        <v>0</v>
      </c>
      <c r="H51" s="7" t="str">
        <f aca="false">IF(F51=D51,"Đã phủ",IF(G51&gt;0,"Có lỗi",IF(E51=0,"Chưa test","Đang test")))</f>
        <v>Chưa test</v>
      </c>
    </row>
    <row r="52" customFormat="false" ht="15" hidden="false" customHeight="true" outlineLevel="0" collapsed="false">
      <c r="A52" s="7" t="s">
        <v>161</v>
      </c>
      <c r="B52" s="7" t="s">
        <v>101</v>
      </c>
      <c r="C52" s="7" t="s">
        <v>89</v>
      </c>
      <c r="D52" s="7" t="n">
        <v>4</v>
      </c>
      <c r="E52" s="7" t="n">
        <f aca="false">COUNTIFS(Admin!B:B,A52,Admin!L:L,"&lt;&gt;Chưa chạy")</f>
        <v>0</v>
      </c>
      <c r="F52" s="7" t="n">
        <f aca="false">COUNTIFS(Admin!B:B,A52,Admin!L:L,"Pass")</f>
        <v>0</v>
      </c>
      <c r="G52" s="7" t="n">
        <f aca="false">COUNTIFS(Admin!B:B,A52,Admin!L:L,"Fail")</f>
        <v>0</v>
      </c>
      <c r="H52" s="7" t="str">
        <f aca="false">IF(F52=D52,"Đã phủ",IF(G52&gt;0,"Có lỗi",IF(E52=0,"Chưa test","Đang test")))</f>
        <v>Chưa test</v>
      </c>
    </row>
    <row r="53" customFormat="false" ht="15" hidden="false" customHeight="true" outlineLevel="0" collapsed="false">
      <c r="A53" s="7" t="s">
        <v>162</v>
      </c>
      <c r="B53" s="7" t="s">
        <v>101</v>
      </c>
      <c r="C53" s="7" t="s">
        <v>89</v>
      </c>
      <c r="D53" s="7" t="n">
        <v>3</v>
      </c>
      <c r="E53" s="7" t="n">
        <f aca="false">COUNTIFS(Admin!B:B,A53,Admin!L:L,"&lt;&gt;Chưa chạy")</f>
        <v>0</v>
      </c>
      <c r="F53" s="7" t="n">
        <f aca="false">COUNTIFS(Admin!B:B,A53,Admin!L:L,"Pass")</f>
        <v>0</v>
      </c>
      <c r="G53" s="7" t="n">
        <f aca="false">COUNTIFS(Admin!B:B,A53,Admin!L:L,"Fail")</f>
        <v>0</v>
      </c>
      <c r="H53" s="7" t="str">
        <f aca="false">IF(F53=D53,"Đã phủ",IF(G53&gt;0,"Có lỗi",IF(E53=0,"Chưa test","Đang test")))</f>
        <v>Chưa test</v>
      </c>
    </row>
    <row r="54" customFormat="false" ht="15" hidden="false" customHeight="true" outlineLevel="0" collapsed="false">
      <c r="A54" s="7" t="s">
        <v>163</v>
      </c>
      <c r="B54" s="7" t="s">
        <v>101</v>
      </c>
      <c r="C54" s="7" t="s">
        <v>89</v>
      </c>
      <c r="D54" s="7" t="n">
        <v>3</v>
      </c>
      <c r="E54" s="7" t="n">
        <f aca="false">COUNTIFS(Admin!B:B,A54,Admin!L:L,"&lt;&gt;Chưa chạy")</f>
        <v>0</v>
      </c>
      <c r="F54" s="7" t="n">
        <f aca="false">COUNTIFS(Admin!B:B,A54,Admin!L:L,"Pass")</f>
        <v>0</v>
      </c>
      <c r="G54" s="7" t="n">
        <f aca="false">COUNTIFS(Admin!B:B,A54,Admin!L:L,"Fail")</f>
        <v>0</v>
      </c>
      <c r="H54" s="7" t="str">
        <f aca="false">IF(F54=D54,"Đã phủ",IF(G54&gt;0,"Có lỗi",IF(E54=0,"Chưa test","Đang test")))</f>
        <v>Chưa test</v>
      </c>
    </row>
    <row r="55" customFormat="false" ht="15" hidden="false" customHeight="true" outlineLevel="0" collapsed="false">
      <c r="A55" s="7" t="s">
        <v>164</v>
      </c>
      <c r="B55" s="7" t="s">
        <v>101</v>
      </c>
      <c r="C55" s="7" t="s">
        <v>89</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165</v>
      </c>
      <c r="B56" s="7" t="s">
        <v>101</v>
      </c>
      <c r="C56" s="7" t="s">
        <v>89</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166</v>
      </c>
      <c r="B57" s="7" t="s">
        <v>101</v>
      </c>
      <c r="C57" s="7" t="s">
        <v>88</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167</v>
      </c>
      <c r="B58" s="7" t="s">
        <v>102</v>
      </c>
      <c r="C58" s="7" t="s">
        <v>89</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168</v>
      </c>
      <c r="B59" s="7" t="s">
        <v>103</v>
      </c>
      <c r="C59" s="7" t="s">
        <v>88</v>
      </c>
      <c r="D59" s="7" t="n">
        <v>8</v>
      </c>
      <c r="E59" s="7" t="n">
        <f aca="false">COUNTIFS('Quy tắc trạng thái'!B:B,A59,'Quy tắc trạng thái'!L:L,"&lt;&gt;Chưa chạy")</f>
        <v>3</v>
      </c>
      <c r="F59" s="7" t="n">
        <f aca="false">COUNTIFS('Quy tắc trạng thái'!B:B,A59,'Quy tắc trạng thái'!L:L,"Pass")</f>
        <v>3</v>
      </c>
      <c r="G59" s="7" t="n">
        <f aca="false">COUNTIFS('Quy tắc trạng thái'!B:B,A59,'Quy tắc trạng thái'!L:L,"Fail")</f>
        <v>0</v>
      </c>
      <c r="H59" s="7" t="str">
        <f aca="false">IF(F59=D59,"Đã phủ",IF(G59&gt;0,"Có lỗi",IF(E59=0,"Chưa test","Đang test")))</f>
        <v>Đang test</v>
      </c>
    </row>
    <row r="60" customFormat="false" ht="15" hidden="false" customHeight="true" outlineLevel="0" collapsed="false">
      <c r="A60" s="7" t="s">
        <v>169</v>
      </c>
      <c r="B60" s="7" t="s">
        <v>103</v>
      </c>
      <c r="C60" s="7" t="s">
        <v>88</v>
      </c>
      <c r="D60" s="7" t="n">
        <v>13</v>
      </c>
      <c r="E60" s="7" t="n">
        <f aca="false">COUNTIFS('Quy tắc trạng thái'!B:B,A60,'Quy tắc trạng thái'!L:L,"&lt;&gt;Chưa chạy")</f>
        <v>10</v>
      </c>
      <c r="F60" s="7" t="n">
        <f aca="false">COUNTIFS('Quy tắc trạng thái'!B:B,A60,'Quy tắc trạng thái'!L:L,"Pass")</f>
        <v>10</v>
      </c>
      <c r="G60" s="7" t="n">
        <f aca="false">COUNTIFS('Quy tắc trạng thái'!B:B,A60,'Quy tắc trạng thái'!L:L,"Fail")</f>
        <v>0</v>
      </c>
      <c r="H60" s="7" t="str">
        <f aca="false">IF(F60=D60,"Đã phủ",IF(G60&gt;0,"Có lỗi",IF(E60=0,"Chưa test","Đang test")))</f>
        <v>Đang test</v>
      </c>
    </row>
    <row r="61" customFormat="false" ht="15" hidden="false" customHeight="true" outlineLevel="0" collapsed="false">
      <c r="A61" s="7" t="s">
        <v>170</v>
      </c>
      <c r="B61" s="7" t="s">
        <v>103</v>
      </c>
      <c r="C61" s="7" t="s">
        <v>88</v>
      </c>
      <c r="D61" s="7" t="n">
        <v>3</v>
      </c>
      <c r="E61" s="7" t="n">
        <f aca="false">COUNTIFS('Quy tắc trạng thái'!B:B,A61,'Quy tắc trạng thái'!L:L,"&lt;&gt;Chưa chạy")</f>
        <v>1</v>
      </c>
      <c r="F61" s="7" t="n">
        <f aca="false">COUNTIFS('Quy tắc trạng thái'!B:B,A61,'Quy tắc trạng thái'!L:L,"Pass")</f>
        <v>1</v>
      </c>
      <c r="G61" s="7" t="n">
        <f aca="false">COUNTIFS('Quy tắc trạng thái'!B:B,A61,'Quy tắc trạng thái'!L:L,"Fail")</f>
        <v>0</v>
      </c>
      <c r="H61" s="7" t="str">
        <f aca="false">IF(F61=D61,"Đã phủ",IF(G61&gt;0,"Có lỗi",IF(E61=0,"Chưa test","Đang test")))</f>
        <v>Đang test</v>
      </c>
    </row>
    <row r="62" customFormat="false" ht="15" hidden="false" customHeight="true" outlineLevel="0" collapsed="false">
      <c r="A62" s="7" t="s">
        <v>171</v>
      </c>
      <c r="B62" s="7" t="s">
        <v>104</v>
      </c>
      <c r="C62" s="7" t="s">
        <v>88</v>
      </c>
      <c r="D62" s="7" t="n">
        <v>13</v>
      </c>
      <c r="E62" s="7" t="n">
        <f aca="false">COUNTIFS('Phi chức năng'!B:B,A62,'Phi chức năng'!L:L,"&lt;&gt;Chưa chạy")</f>
        <v>5</v>
      </c>
      <c r="F62" s="7" t="n">
        <f aca="false">COUNTIFS('Phi chức năng'!B:B,A62,'Phi chức năng'!L:L,"Pass")</f>
        <v>5</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172</v>
      </c>
      <c r="B63" s="7" t="s">
        <v>104</v>
      </c>
      <c r="C63" s="7" t="s">
        <v>89</v>
      </c>
      <c r="D63" s="7" t="n">
        <v>3</v>
      </c>
      <c r="E63" s="7" t="n">
        <f aca="false">COUNTIFS('Phi chức năng'!B:B,A63,'Phi chức năng'!L:L,"&lt;&gt;Chưa chạy")</f>
        <v>0</v>
      </c>
      <c r="F63" s="7" t="n">
        <f aca="false">COUNTIFS('Phi chức năng'!B:B,A63,'Phi chức năng'!L:L,"Pass")</f>
        <v>0</v>
      </c>
      <c r="G63" s="7" t="n">
        <f aca="false">COUNTIFS('Phi chức năng'!B:B,A63,'Phi chức năng'!L:L,"Fail")</f>
        <v>0</v>
      </c>
      <c r="H63" s="7" t="str">
        <f aca="false">IF(F63=D63,"Đã phủ",IF(G63&gt;0,"Có lỗi",IF(E63=0,"Chưa test","Đang test")))</f>
        <v>Chưa test</v>
      </c>
    </row>
    <row r="64" customFormat="false" ht="15" hidden="false" customHeight="true" outlineLevel="0" collapsed="false">
      <c r="A64" s="7" t="s">
        <v>173</v>
      </c>
      <c r="B64" s="7" t="s">
        <v>104</v>
      </c>
      <c r="C64" s="7" t="s">
        <v>89</v>
      </c>
      <c r="D64" s="7" t="n">
        <v>3</v>
      </c>
      <c r="E64" s="7" t="n">
        <f aca="false">COUNTIFS('Phi chức năng'!B:B,A64,'Phi chức năng'!L:L,"&lt;&gt;Chưa chạy")</f>
        <v>0</v>
      </c>
      <c r="F64" s="7" t="n">
        <f aca="false">COUNTIFS('Phi chức năng'!B:B,A64,'Phi chức năng'!L:L,"Pass")</f>
        <v>0</v>
      </c>
      <c r="G64" s="7" t="n">
        <f aca="false">COUNTIFS('Phi chức năng'!B:B,A64,'Phi chức năng'!L:L,"Fail")</f>
        <v>0</v>
      </c>
      <c r="H64" s="7" t="str">
        <f aca="false">IF(F64=D64,"Đã phủ",IF(G64&gt;0,"Có lỗi",IF(E64=0,"Chưa test","Đang test")))</f>
        <v>Chưa test</v>
      </c>
    </row>
    <row r="65" customFormat="false" ht="15" hidden="false" customHeight="true" outlineLevel="0" collapsed="false">
      <c r="A65" s="7" t="s">
        <v>174</v>
      </c>
      <c r="B65" s="7" t="s">
        <v>104</v>
      </c>
      <c r="C65" s="7" t="s">
        <v>89</v>
      </c>
      <c r="D65" s="7" t="n">
        <v>6</v>
      </c>
      <c r="E65" s="7" t="n">
        <f aca="false">COUNTIFS('Phi chức năng'!B:B,A65,'Phi chức năng'!L:L,"&lt;&gt;Chưa chạy")</f>
        <v>0</v>
      </c>
      <c r="F65" s="7" t="n">
        <f aca="false">COUNTIFS('Phi chức năng'!B:B,A65,'Phi chức năng'!L:L,"Pass")</f>
        <v>0</v>
      </c>
      <c r="G65" s="7" t="n">
        <f aca="false">COUNTIFS('Phi chức năng'!B:B,A65,'Phi chức năng'!L:L,"Fail")</f>
        <v>0</v>
      </c>
      <c r="H65" s="7" t="str">
        <f aca="false">IF(F65=D65,"Đã phủ",IF(G65&gt;0,"Có lỗi",IF(E65=0,"Chưa test","Đang test")))</f>
        <v>Chưa test</v>
      </c>
    </row>
    <row r="66" customFormat="false" ht="15" hidden="false" customHeight="true" outlineLevel="0" collapsed="false">
      <c r="A66" s="7" t="s">
        <v>175</v>
      </c>
      <c r="B66" s="7" t="s">
        <v>104</v>
      </c>
      <c r="C66" s="7" t="s">
        <v>90</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176</v>
      </c>
      <c r="B67" s="7" t="s">
        <v>104</v>
      </c>
      <c r="C67" s="7" t="s">
        <v>89</v>
      </c>
      <c r="D67" s="7" t="n">
        <v>1</v>
      </c>
      <c r="E67" s="7" t="n">
        <f aca="false">COUNTIFS('Phi chức năng'!B:B,A67,'Phi chức năng'!L:L,"&lt;&gt;Chưa chạy")</f>
        <v>0</v>
      </c>
      <c r="F67" s="7" t="n">
        <f aca="false">COUNTIFS('Phi chức năng'!B:B,A67,'Phi chức năng'!L:L,"Pass")</f>
        <v>0</v>
      </c>
      <c r="G67" s="7" t="n">
        <f aca="false">COUNTIFS('Phi chức năng'!B:B,A67,'Phi chức năng'!L:L,"Fail")</f>
        <v>0</v>
      </c>
      <c r="H67" s="7" t="str">
        <f aca="false">IF(F67=D67,"Đã phủ",IF(G67&gt;0,"Có lỗi",IF(E67=0,"Chưa test","Đang test")))</f>
        <v>Chưa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54.75" hidden="false" customHeight="true" outlineLevel="0" collapsed="false">
      <c r="A2" s="5" t="s">
        <v>189</v>
      </c>
      <c r="B2" s="5" t="s">
        <v>111</v>
      </c>
      <c r="C2" s="5" t="s">
        <v>98</v>
      </c>
      <c r="D2" s="5" t="s">
        <v>190</v>
      </c>
      <c r="E2" s="5" t="s">
        <v>191</v>
      </c>
      <c r="F2" s="5" t="s">
        <v>192</v>
      </c>
      <c r="G2" s="5" t="s">
        <v>193</v>
      </c>
      <c r="H2" s="5" t="s">
        <v>194</v>
      </c>
      <c r="I2" s="5" t="s">
        <v>88</v>
      </c>
      <c r="J2" s="5" t="s">
        <v>195</v>
      </c>
      <c r="K2" s="5" t="s">
        <v>196</v>
      </c>
      <c r="L2" s="5" t="s">
        <v>32</v>
      </c>
      <c r="M2" s="5" t="s">
        <v>197</v>
      </c>
      <c r="N2" s="5" t="s">
        <v>28</v>
      </c>
      <c r="O2" s="5"/>
      <c r="P2" s="5"/>
    </row>
    <row r="3" customFormat="false" ht="54.75" hidden="false" customHeight="true" outlineLevel="0" collapsed="false">
      <c r="A3" s="5" t="s">
        <v>198</v>
      </c>
      <c r="B3" s="5" t="s">
        <v>111</v>
      </c>
      <c r="C3" s="5" t="s">
        <v>98</v>
      </c>
      <c r="D3" s="5" t="s">
        <v>199</v>
      </c>
      <c r="E3" s="5" t="s">
        <v>191</v>
      </c>
      <c r="F3" s="5" t="s">
        <v>200</v>
      </c>
      <c r="G3" s="5" t="s">
        <v>201</v>
      </c>
      <c r="H3" s="5" t="s">
        <v>202</v>
      </c>
      <c r="I3" s="5" t="s">
        <v>88</v>
      </c>
      <c r="J3" s="5" t="s">
        <v>195</v>
      </c>
      <c r="K3" s="5" t="s">
        <v>203</v>
      </c>
      <c r="L3" s="5" t="s">
        <v>32</v>
      </c>
      <c r="M3" s="5" t="s">
        <v>197</v>
      </c>
      <c r="N3" s="5" t="s">
        <v>28</v>
      </c>
      <c r="O3" s="5"/>
      <c r="P3" s="5"/>
    </row>
    <row r="4" customFormat="false" ht="41.25" hidden="false" customHeight="true" outlineLevel="0" collapsed="false">
      <c r="A4" s="5" t="s">
        <v>204</v>
      </c>
      <c r="B4" s="5" t="s">
        <v>111</v>
      </c>
      <c r="C4" s="5" t="s">
        <v>98</v>
      </c>
      <c r="D4" s="5" t="s">
        <v>205</v>
      </c>
      <c r="E4" s="5" t="s">
        <v>206</v>
      </c>
      <c r="F4" s="5" t="s">
        <v>207</v>
      </c>
      <c r="G4" s="5" t="s">
        <v>208</v>
      </c>
      <c r="H4" s="5" t="s">
        <v>209</v>
      </c>
      <c r="I4" s="5" t="s">
        <v>88</v>
      </c>
      <c r="J4" s="5" t="s">
        <v>210</v>
      </c>
      <c r="K4" s="5" t="s">
        <v>211</v>
      </c>
      <c r="L4" s="5" t="s">
        <v>32</v>
      </c>
      <c r="M4" s="5" t="s">
        <v>197</v>
      </c>
      <c r="N4" s="5" t="s">
        <v>28</v>
      </c>
      <c r="O4" s="5"/>
      <c r="P4" s="5"/>
    </row>
    <row r="5" customFormat="false" ht="41.25" hidden="false" customHeight="true" outlineLevel="0" collapsed="false">
      <c r="A5" s="5" t="s">
        <v>212</v>
      </c>
      <c r="B5" s="5" t="s">
        <v>111</v>
      </c>
      <c r="C5" s="5" t="s">
        <v>98</v>
      </c>
      <c r="D5" s="5" t="s">
        <v>213</v>
      </c>
      <c r="E5" s="5" t="s">
        <v>214</v>
      </c>
      <c r="F5" s="5" t="s">
        <v>215</v>
      </c>
      <c r="G5" s="5" t="s">
        <v>216</v>
      </c>
      <c r="H5" s="5" t="s">
        <v>217</v>
      </c>
      <c r="I5" s="5" t="s">
        <v>88</v>
      </c>
      <c r="J5" s="5" t="s">
        <v>218</v>
      </c>
      <c r="K5" s="5" t="s">
        <v>219</v>
      </c>
      <c r="L5" s="5" t="s">
        <v>32</v>
      </c>
      <c r="M5" s="5" t="s">
        <v>197</v>
      </c>
      <c r="N5" s="5" t="s">
        <v>28</v>
      </c>
      <c r="O5" s="5"/>
      <c r="P5" s="5"/>
    </row>
    <row r="6" customFormat="false" ht="41.25" hidden="false" customHeight="true" outlineLevel="0" collapsed="false">
      <c r="A6" s="5" t="s">
        <v>220</v>
      </c>
      <c r="B6" s="5" t="s">
        <v>111</v>
      </c>
      <c r="C6" s="5" t="s">
        <v>98</v>
      </c>
      <c r="D6" s="5" t="s">
        <v>221</v>
      </c>
      <c r="E6" s="5" t="s">
        <v>214</v>
      </c>
      <c r="F6" s="5" t="s">
        <v>222</v>
      </c>
      <c r="G6" s="5" t="s">
        <v>223</v>
      </c>
      <c r="H6" s="5" t="s">
        <v>224</v>
      </c>
      <c r="I6" s="5" t="s">
        <v>89</v>
      </c>
      <c r="J6" s="5" t="s">
        <v>218</v>
      </c>
      <c r="K6" s="5"/>
      <c r="L6" s="5" t="s">
        <v>95</v>
      </c>
      <c r="M6" s="5"/>
      <c r="N6" s="5"/>
      <c r="O6" s="5"/>
      <c r="P6" s="5"/>
    </row>
    <row r="7" customFormat="false" ht="27.75" hidden="false" customHeight="true" outlineLevel="0" collapsed="false">
      <c r="A7" s="5" t="s">
        <v>225</v>
      </c>
      <c r="B7" s="5" t="s">
        <v>111</v>
      </c>
      <c r="C7" s="5" t="s">
        <v>98</v>
      </c>
      <c r="D7" s="5" t="s">
        <v>226</v>
      </c>
      <c r="E7" s="5" t="s">
        <v>206</v>
      </c>
      <c r="F7" s="5" t="s">
        <v>227</v>
      </c>
      <c r="G7" s="5" t="s">
        <v>228</v>
      </c>
      <c r="H7" s="5" t="s">
        <v>229</v>
      </c>
      <c r="I7" s="5" t="s">
        <v>88</v>
      </c>
      <c r="J7" s="5" t="s">
        <v>218</v>
      </c>
      <c r="K7" s="5" t="s">
        <v>230</v>
      </c>
      <c r="L7" s="5" t="s">
        <v>32</v>
      </c>
      <c r="M7" s="5" t="s">
        <v>197</v>
      </c>
      <c r="N7" s="5" t="s">
        <v>28</v>
      </c>
      <c r="O7" s="5"/>
      <c r="P7" s="5"/>
    </row>
    <row r="8" customFormat="false" ht="27.75" hidden="false" customHeight="true" outlineLevel="0" collapsed="false">
      <c r="A8" s="5" t="s">
        <v>231</v>
      </c>
      <c r="B8" s="5" t="s">
        <v>111</v>
      </c>
      <c r="C8" s="5" t="s">
        <v>98</v>
      </c>
      <c r="D8" s="5" t="s">
        <v>232</v>
      </c>
      <c r="E8" s="5" t="s">
        <v>206</v>
      </c>
      <c r="F8" s="5" t="s">
        <v>233</v>
      </c>
      <c r="G8" s="5" t="s">
        <v>234</v>
      </c>
      <c r="H8" s="5" t="s">
        <v>235</v>
      </c>
      <c r="I8" s="5" t="s">
        <v>88</v>
      </c>
      <c r="J8" s="5" t="s">
        <v>218</v>
      </c>
      <c r="K8" s="5" t="s">
        <v>236</v>
      </c>
      <c r="L8" s="5" t="s">
        <v>32</v>
      </c>
      <c r="M8" s="5" t="s">
        <v>197</v>
      </c>
      <c r="N8" s="5" t="s">
        <v>28</v>
      </c>
      <c r="O8" s="5"/>
      <c r="P8" s="5"/>
    </row>
    <row r="9" customFormat="false" ht="27.75" hidden="false" customHeight="true" outlineLevel="0" collapsed="false">
      <c r="A9" s="5" t="s">
        <v>237</v>
      </c>
      <c r="B9" s="5" t="s">
        <v>111</v>
      </c>
      <c r="C9" s="5" t="s">
        <v>98</v>
      </c>
      <c r="D9" s="5" t="s">
        <v>238</v>
      </c>
      <c r="E9" s="5" t="s">
        <v>206</v>
      </c>
      <c r="F9" s="5" t="s">
        <v>239</v>
      </c>
      <c r="G9" s="5" t="s">
        <v>240</v>
      </c>
      <c r="H9" s="5" t="s">
        <v>241</v>
      </c>
      <c r="I9" s="5" t="s">
        <v>88</v>
      </c>
      <c r="J9" s="5" t="s">
        <v>242</v>
      </c>
      <c r="K9" s="5" t="s">
        <v>243</v>
      </c>
      <c r="L9" s="5" t="s">
        <v>32</v>
      </c>
      <c r="M9" s="5" t="s">
        <v>197</v>
      </c>
      <c r="N9" s="5" t="s">
        <v>28</v>
      </c>
      <c r="O9" s="5"/>
      <c r="P9" s="5"/>
    </row>
    <row r="10" customFormat="false" ht="27.75" hidden="false" customHeight="true" outlineLevel="0" collapsed="false">
      <c r="A10" s="5" t="s">
        <v>244</v>
      </c>
      <c r="B10" s="5" t="s">
        <v>111</v>
      </c>
      <c r="C10" s="5" t="s">
        <v>98</v>
      </c>
      <c r="D10" s="5" t="s">
        <v>245</v>
      </c>
      <c r="E10" s="5" t="s">
        <v>206</v>
      </c>
      <c r="F10" s="5" t="s">
        <v>246</v>
      </c>
      <c r="G10" s="5" t="s">
        <v>247</v>
      </c>
      <c r="H10" s="5" t="s">
        <v>248</v>
      </c>
      <c r="I10" s="5" t="s">
        <v>88</v>
      </c>
      <c r="J10" s="5" t="s">
        <v>242</v>
      </c>
      <c r="K10" s="5" t="s">
        <v>249</v>
      </c>
      <c r="L10" s="5" t="s">
        <v>32</v>
      </c>
      <c r="M10" s="5" t="s">
        <v>197</v>
      </c>
      <c r="N10" s="5" t="s">
        <v>28</v>
      </c>
      <c r="O10" s="5"/>
      <c r="P10" s="5"/>
    </row>
    <row r="11" customFormat="false" ht="27.75" hidden="false" customHeight="true" outlineLevel="0" collapsed="false">
      <c r="A11" s="5" t="s">
        <v>250</v>
      </c>
      <c r="B11" s="5" t="s">
        <v>111</v>
      </c>
      <c r="C11" s="5" t="s">
        <v>98</v>
      </c>
      <c r="D11" s="5" t="s">
        <v>251</v>
      </c>
      <c r="E11" s="5" t="s">
        <v>206</v>
      </c>
      <c r="F11" s="5" t="s">
        <v>252</v>
      </c>
      <c r="G11" s="5" t="s">
        <v>253</v>
      </c>
      <c r="H11" s="5" t="s">
        <v>254</v>
      </c>
      <c r="I11" s="5" t="s">
        <v>89</v>
      </c>
      <c r="J11" s="5" t="s">
        <v>242</v>
      </c>
      <c r="K11" s="5"/>
      <c r="L11" s="5" t="s">
        <v>95</v>
      </c>
      <c r="M11" s="5"/>
      <c r="N11" s="5"/>
      <c r="O11" s="5"/>
      <c r="P11" s="5"/>
    </row>
    <row r="12" customFormat="false" ht="27.75" hidden="false" customHeight="true" outlineLevel="0" collapsed="false">
      <c r="A12" s="5" t="s">
        <v>255</v>
      </c>
      <c r="B12" s="5" t="s">
        <v>111</v>
      </c>
      <c r="C12" s="5" t="s">
        <v>98</v>
      </c>
      <c r="D12" s="5" t="s">
        <v>256</v>
      </c>
      <c r="E12" s="5" t="s">
        <v>206</v>
      </c>
      <c r="F12" s="5" t="s">
        <v>257</v>
      </c>
      <c r="G12" s="5" t="s">
        <v>258</v>
      </c>
      <c r="H12" s="5" t="s">
        <v>259</v>
      </c>
      <c r="I12" s="5" t="s">
        <v>89</v>
      </c>
      <c r="J12" s="5" t="s">
        <v>242</v>
      </c>
      <c r="K12" s="5"/>
      <c r="L12" s="5" t="s">
        <v>95</v>
      </c>
      <c r="M12" s="5"/>
      <c r="N12" s="5"/>
      <c r="O12" s="5"/>
      <c r="P12" s="5"/>
    </row>
    <row r="13" customFormat="false" ht="27.75" hidden="false" customHeight="true" outlineLevel="0" collapsed="false">
      <c r="A13" s="5" t="s">
        <v>260</v>
      </c>
      <c r="B13" s="5" t="s">
        <v>111</v>
      </c>
      <c r="C13" s="5" t="s">
        <v>98</v>
      </c>
      <c r="D13" s="5" t="s">
        <v>261</v>
      </c>
      <c r="E13" s="5" t="s">
        <v>206</v>
      </c>
      <c r="F13" s="5" t="s">
        <v>262</v>
      </c>
      <c r="G13" s="5" t="s">
        <v>263</v>
      </c>
      <c r="H13" s="5" t="s">
        <v>264</v>
      </c>
      <c r="I13" s="5" t="s">
        <v>88</v>
      </c>
      <c r="J13" s="5" t="s">
        <v>218</v>
      </c>
      <c r="K13" s="5" t="s">
        <v>265</v>
      </c>
      <c r="L13" s="5" t="s">
        <v>32</v>
      </c>
      <c r="M13" s="5" t="s">
        <v>197</v>
      </c>
      <c r="N13" s="5" t="s">
        <v>28</v>
      </c>
      <c r="O13" s="5"/>
      <c r="P13" s="5"/>
    </row>
    <row r="14" customFormat="false" ht="27.75" hidden="false" customHeight="true" outlineLevel="0" collapsed="false">
      <c r="A14" s="5" t="s">
        <v>266</v>
      </c>
      <c r="B14" s="5" t="s">
        <v>111</v>
      </c>
      <c r="C14" s="5" t="s">
        <v>98</v>
      </c>
      <c r="D14" s="5" t="s">
        <v>267</v>
      </c>
      <c r="E14" s="5" t="s">
        <v>206</v>
      </c>
      <c r="F14" s="5" t="s">
        <v>268</v>
      </c>
      <c r="G14" s="5" t="s">
        <v>269</v>
      </c>
      <c r="H14" s="5" t="s">
        <v>270</v>
      </c>
      <c r="I14" s="5" t="s">
        <v>89</v>
      </c>
      <c r="J14" s="5" t="s">
        <v>271</v>
      </c>
      <c r="K14" s="5"/>
      <c r="L14" s="5" t="s">
        <v>95</v>
      </c>
      <c r="M14" s="5"/>
      <c r="N14" s="5"/>
      <c r="O14" s="5"/>
      <c r="P14" s="5"/>
    </row>
    <row r="15" customFormat="false" ht="41.25" hidden="false" customHeight="true" outlineLevel="0" collapsed="false">
      <c r="A15" s="5" t="s">
        <v>272</v>
      </c>
      <c r="B15" s="5" t="s">
        <v>112</v>
      </c>
      <c r="C15" s="5" t="s">
        <v>98</v>
      </c>
      <c r="D15" s="5" t="s">
        <v>273</v>
      </c>
      <c r="E15" s="5" t="s">
        <v>274</v>
      </c>
      <c r="F15" s="5" t="s">
        <v>275</v>
      </c>
      <c r="G15" s="5" t="s">
        <v>276</v>
      </c>
      <c r="H15" s="5" t="s">
        <v>277</v>
      </c>
      <c r="I15" s="5" t="s">
        <v>88</v>
      </c>
      <c r="J15" s="5" t="s">
        <v>195</v>
      </c>
      <c r="K15" s="5" t="s">
        <v>278</v>
      </c>
      <c r="L15" s="5" t="s">
        <v>32</v>
      </c>
      <c r="M15" s="5" t="s">
        <v>197</v>
      </c>
      <c r="N15" s="5" t="s">
        <v>28</v>
      </c>
      <c r="O15" s="5"/>
      <c r="P15" s="5"/>
    </row>
    <row r="16" customFormat="false" ht="41.25" hidden="false" customHeight="true" outlineLevel="0" collapsed="false">
      <c r="A16" s="5" t="s">
        <v>279</v>
      </c>
      <c r="B16" s="5" t="s">
        <v>112</v>
      </c>
      <c r="C16" s="5" t="s">
        <v>98</v>
      </c>
      <c r="D16" s="5" t="s">
        <v>280</v>
      </c>
      <c r="E16" s="5" t="s">
        <v>281</v>
      </c>
      <c r="F16" s="5" t="s">
        <v>282</v>
      </c>
      <c r="G16" s="5" t="s">
        <v>283</v>
      </c>
      <c r="H16" s="5" t="s">
        <v>284</v>
      </c>
      <c r="I16" s="5" t="s">
        <v>88</v>
      </c>
      <c r="J16" s="5" t="s">
        <v>195</v>
      </c>
      <c r="K16" s="5" t="s">
        <v>285</v>
      </c>
      <c r="L16" s="5" t="s">
        <v>32</v>
      </c>
      <c r="M16" s="5" t="s">
        <v>197</v>
      </c>
      <c r="N16" s="5" t="s">
        <v>28</v>
      </c>
      <c r="O16" s="5" t="s">
        <v>286</v>
      </c>
      <c r="P16" s="5"/>
    </row>
    <row r="17" customFormat="false" ht="27.75" hidden="false" customHeight="true" outlineLevel="0" collapsed="false">
      <c r="A17" s="5" t="s">
        <v>287</v>
      </c>
      <c r="B17" s="5" t="s">
        <v>112</v>
      </c>
      <c r="C17" s="5" t="s">
        <v>98</v>
      </c>
      <c r="D17" s="5" t="s">
        <v>288</v>
      </c>
      <c r="E17" s="5" t="s">
        <v>289</v>
      </c>
      <c r="F17" s="5" t="s">
        <v>290</v>
      </c>
      <c r="G17" s="5" t="s">
        <v>291</v>
      </c>
      <c r="H17" s="5" t="s">
        <v>292</v>
      </c>
      <c r="I17" s="5" t="s">
        <v>88</v>
      </c>
      <c r="J17" s="5" t="s">
        <v>218</v>
      </c>
      <c r="K17" s="5" t="s">
        <v>293</v>
      </c>
      <c r="L17" s="5" t="s">
        <v>32</v>
      </c>
      <c r="M17" s="5" t="s">
        <v>197</v>
      </c>
      <c r="N17" s="5" t="s">
        <v>28</v>
      </c>
      <c r="O17" s="5"/>
      <c r="P17" s="5"/>
    </row>
    <row r="18" customFormat="false" ht="27.75" hidden="false" customHeight="true" outlineLevel="0" collapsed="false">
      <c r="A18" s="5" t="s">
        <v>294</v>
      </c>
      <c r="B18" s="5" t="s">
        <v>112</v>
      </c>
      <c r="C18" s="5" t="s">
        <v>98</v>
      </c>
      <c r="D18" s="5" t="s">
        <v>295</v>
      </c>
      <c r="E18" s="5" t="s">
        <v>296</v>
      </c>
      <c r="F18" s="5" t="s">
        <v>297</v>
      </c>
      <c r="G18" s="5" t="s">
        <v>298</v>
      </c>
      <c r="H18" s="5" t="s">
        <v>299</v>
      </c>
      <c r="I18" s="5" t="s">
        <v>88</v>
      </c>
      <c r="J18" s="5" t="s">
        <v>271</v>
      </c>
      <c r="K18" s="5" t="s">
        <v>300</v>
      </c>
      <c r="L18" s="5" t="s">
        <v>32</v>
      </c>
      <c r="M18" s="5" t="s">
        <v>197</v>
      </c>
      <c r="N18" s="5" t="s">
        <v>28</v>
      </c>
      <c r="O18" s="5"/>
      <c r="P18" s="5"/>
    </row>
    <row r="19" customFormat="false" ht="27.75" hidden="false" customHeight="true" outlineLevel="0" collapsed="false">
      <c r="A19" s="5" t="s">
        <v>301</v>
      </c>
      <c r="B19" s="5" t="s">
        <v>112</v>
      </c>
      <c r="C19" s="5" t="s">
        <v>98</v>
      </c>
      <c r="D19" s="5" t="s">
        <v>302</v>
      </c>
      <c r="E19" s="5" t="s">
        <v>303</v>
      </c>
      <c r="F19" s="5" t="s">
        <v>296</v>
      </c>
      <c r="G19" s="5" t="s">
        <v>304</v>
      </c>
      <c r="H19" s="5" t="s">
        <v>305</v>
      </c>
      <c r="I19" s="5" t="s">
        <v>88</v>
      </c>
      <c r="J19" s="5" t="s">
        <v>195</v>
      </c>
      <c r="K19" s="5" t="s">
        <v>306</v>
      </c>
      <c r="L19" s="5" t="s">
        <v>32</v>
      </c>
      <c r="M19" s="5" t="s">
        <v>197</v>
      </c>
      <c r="N19" s="5" t="s">
        <v>28</v>
      </c>
      <c r="O19" s="5"/>
      <c r="P19" s="5"/>
    </row>
    <row r="20" customFormat="false" ht="27.75" hidden="false" customHeight="true" outlineLevel="0" collapsed="false">
      <c r="A20" s="5" t="s">
        <v>307</v>
      </c>
      <c r="B20" s="5" t="s">
        <v>112</v>
      </c>
      <c r="C20" s="5" t="s">
        <v>98</v>
      </c>
      <c r="D20" s="5" t="s">
        <v>308</v>
      </c>
      <c r="E20" s="5" t="s">
        <v>303</v>
      </c>
      <c r="F20" s="5" t="s">
        <v>296</v>
      </c>
      <c r="G20" s="5" t="s">
        <v>309</v>
      </c>
      <c r="H20" s="5" t="s">
        <v>310</v>
      </c>
      <c r="I20" s="5" t="s">
        <v>88</v>
      </c>
      <c r="J20" s="5" t="s">
        <v>195</v>
      </c>
      <c r="K20" s="5" t="s">
        <v>311</v>
      </c>
      <c r="L20" s="5" t="s">
        <v>32</v>
      </c>
      <c r="M20" s="5" t="s">
        <v>197</v>
      </c>
      <c r="N20" s="5" t="s">
        <v>28</v>
      </c>
      <c r="O20" s="5"/>
      <c r="P20" s="5"/>
    </row>
    <row r="21" customFormat="false" ht="27.75" hidden="false" customHeight="true" outlineLevel="0" collapsed="false">
      <c r="A21" s="5" t="s">
        <v>312</v>
      </c>
      <c r="B21" s="5" t="s">
        <v>112</v>
      </c>
      <c r="C21" s="5" t="s">
        <v>98</v>
      </c>
      <c r="D21" s="5" t="s">
        <v>313</v>
      </c>
      <c r="E21" s="5" t="s">
        <v>303</v>
      </c>
      <c r="F21" s="5" t="s">
        <v>296</v>
      </c>
      <c r="G21" s="5" t="s">
        <v>314</v>
      </c>
      <c r="H21" s="5" t="s">
        <v>315</v>
      </c>
      <c r="I21" s="5" t="s">
        <v>88</v>
      </c>
      <c r="J21" s="5" t="s">
        <v>271</v>
      </c>
      <c r="K21" s="5" t="s">
        <v>316</v>
      </c>
      <c r="L21" s="5" t="s">
        <v>32</v>
      </c>
      <c r="M21" s="5" t="s">
        <v>197</v>
      </c>
      <c r="N21" s="5" t="s">
        <v>28</v>
      </c>
      <c r="O21" s="5"/>
      <c r="P21" s="5"/>
    </row>
    <row r="22" customFormat="false" ht="41.25" hidden="false" customHeight="true" outlineLevel="0" collapsed="false">
      <c r="A22" s="5" t="s">
        <v>317</v>
      </c>
      <c r="B22" s="5" t="s">
        <v>112</v>
      </c>
      <c r="C22" s="5" t="s">
        <v>98</v>
      </c>
      <c r="D22" s="5" t="s">
        <v>318</v>
      </c>
      <c r="E22" s="5" t="s">
        <v>303</v>
      </c>
      <c r="F22" s="5" t="s">
        <v>296</v>
      </c>
      <c r="G22" s="5" t="s">
        <v>319</v>
      </c>
      <c r="H22" s="5" t="s">
        <v>320</v>
      </c>
      <c r="I22" s="5" t="s">
        <v>88</v>
      </c>
      <c r="J22" s="5" t="s">
        <v>195</v>
      </c>
      <c r="K22" s="5" t="s">
        <v>321</v>
      </c>
      <c r="L22" s="5" t="s">
        <v>32</v>
      </c>
      <c r="M22" s="5" t="s">
        <v>197</v>
      </c>
      <c r="N22" s="5" t="s">
        <v>28</v>
      </c>
      <c r="O22" s="5"/>
      <c r="P22" s="5"/>
    </row>
    <row r="23" customFormat="false" ht="27.75" hidden="false" customHeight="true" outlineLevel="0" collapsed="false">
      <c r="A23" s="5" t="s">
        <v>322</v>
      </c>
      <c r="B23" s="5" t="s">
        <v>112</v>
      </c>
      <c r="C23" s="5" t="s">
        <v>98</v>
      </c>
      <c r="D23" s="5" t="s">
        <v>323</v>
      </c>
      <c r="E23" s="5" t="s">
        <v>206</v>
      </c>
      <c r="F23" s="5" t="s">
        <v>296</v>
      </c>
      <c r="G23" s="5" t="s">
        <v>324</v>
      </c>
      <c r="H23" s="5" t="s">
        <v>325</v>
      </c>
      <c r="I23" s="5" t="s">
        <v>89</v>
      </c>
      <c r="J23" s="5" t="s">
        <v>195</v>
      </c>
      <c r="K23" s="5"/>
      <c r="L23" s="5" t="s">
        <v>95</v>
      </c>
      <c r="M23" s="5"/>
      <c r="N23" s="5"/>
      <c r="O23" s="5"/>
      <c r="P23" s="5"/>
    </row>
    <row r="24" customFormat="false" ht="15" hidden="false" customHeight="true" outlineLevel="0" collapsed="false">
      <c r="A24" s="5" t="s">
        <v>326</v>
      </c>
      <c r="B24" s="5" t="s">
        <v>112</v>
      </c>
      <c r="C24" s="5" t="s">
        <v>98</v>
      </c>
      <c r="D24" s="5" t="s">
        <v>327</v>
      </c>
      <c r="E24" s="5" t="s">
        <v>296</v>
      </c>
      <c r="F24" s="5" t="s">
        <v>328</v>
      </c>
      <c r="G24" s="5" t="s">
        <v>329</v>
      </c>
      <c r="H24" s="5" t="s">
        <v>330</v>
      </c>
      <c r="I24" s="5" t="s">
        <v>89</v>
      </c>
      <c r="J24" s="5" t="s">
        <v>271</v>
      </c>
      <c r="K24" s="5"/>
      <c r="L24" s="5" t="s">
        <v>95</v>
      </c>
      <c r="M24" s="5"/>
      <c r="N24" s="5"/>
      <c r="O24" s="5"/>
      <c r="P24" s="5"/>
    </row>
    <row r="25" customFormat="false" ht="27.75" hidden="false" customHeight="true" outlineLevel="0" collapsed="false">
      <c r="A25" s="5" t="s">
        <v>331</v>
      </c>
      <c r="B25" s="5" t="s">
        <v>112</v>
      </c>
      <c r="C25" s="5" t="s">
        <v>98</v>
      </c>
      <c r="D25" s="5" t="s">
        <v>332</v>
      </c>
      <c r="E25" s="5" t="s">
        <v>303</v>
      </c>
      <c r="F25" s="5" t="s">
        <v>296</v>
      </c>
      <c r="G25" s="5" t="s">
        <v>333</v>
      </c>
      <c r="H25" s="5" t="s">
        <v>334</v>
      </c>
      <c r="I25" s="5" t="s">
        <v>88</v>
      </c>
      <c r="J25" s="5" t="s">
        <v>210</v>
      </c>
      <c r="K25" s="5" t="s">
        <v>335</v>
      </c>
      <c r="L25" s="5" t="s">
        <v>32</v>
      </c>
      <c r="M25" s="5" t="s">
        <v>197</v>
      </c>
      <c r="N25" s="5" t="s">
        <v>28</v>
      </c>
      <c r="O25" s="5"/>
      <c r="P25" s="5"/>
    </row>
    <row r="26" customFormat="false" ht="15" hidden="false" customHeight="true" outlineLevel="0" collapsed="false">
      <c r="A26" s="5" t="s">
        <v>336</v>
      </c>
      <c r="B26" s="5" t="s">
        <v>113</v>
      </c>
      <c r="C26" s="5" t="s">
        <v>98</v>
      </c>
      <c r="D26" s="5" t="s">
        <v>337</v>
      </c>
      <c r="E26" s="5" t="s">
        <v>338</v>
      </c>
      <c r="F26" s="5" t="s">
        <v>339</v>
      </c>
      <c r="G26" s="5" t="s">
        <v>340</v>
      </c>
      <c r="H26" s="5" t="s">
        <v>341</v>
      </c>
      <c r="I26" s="5" t="s">
        <v>88</v>
      </c>
      <c r="J26" s="5" t="s">
        <v>195</v>
      </c>
      <c r="K26" s="5" t="s">
        <v>342</v>
      </c>
      <c r="L26" s="5" t="s">
        <v>32</v>
      </c>
      <c r="M26" s="5" t="s">
        <v>197</v>
      </c>
      <c r="N26" s="5" t="s">
        <v>28</v>
      </c>
      <c r="O26" s="5"/>
      <c r="P26" s="5"/>
    </row>
    <row r="27" customFormat="false" ht="27.75" hidden="false" customHeight="true" outlineLevel="0" collapsed="false">
      <c r="A27" s="5" t="s">
        <v>343</v>
      </c>
      <c r="B27" s="5" t="s">
        <v>113</v>
      </c>
      <c r="C27" s="5" t="s">
        <v>98</v>
      </c>
      <c r="D27" s="5" t="s">
        <v>344</v>
      </c>
      <c r="E27" s="5" t="s">
        <v>345</v>
      </c>
      <c r="F27" s="5" t="s">
        <v>346</v>
      </c>
      <c r="G27" s="5" t="s">
        <v>347</v>
      </c>
      <c r="H27" s="5" t="s">
        <v>348</v>
      </c>
      <c r="I27" s="5" t="s">
        <v>88</v>
      </c>
      <c r="J27" s="5" t="s">
        <v>218</v>
      </c>
      <c r="K27" s="5" t="s">
        <v>349</v>
      </c>
      <c r="L27" s="5" t="s">
        <v>32</v>
      </c>
      <c r="M27" s="5" t="s">
        <v>197</v>
      </c>
      <c r="N27" s="5" t="s">
        <v>28</v>
      </c>
      <c r="O27" s="5"/>
      <c r="P27" s="5"/>
    </row>
    <row r="28" customFormat="false" ht="27.75" hidden="false" customHeight="true" outlineLevel="0" collapsed="false">
      <c r="A28" s="5" t="s">
        <v>350</v>
      </c>
      <c r="B28" s="5" t="s">
        <v>113</v>
      </c>
      <c r="C28" s="5" t="s">
        <v>98</v>
      </c>
      <c r="D28" s="5" t="s">
        <v>351</v>
      </c>
      <c r="E28" s="5" t="s">
        <v>352</v>
      </c>
      <c r="F28" s="5" t="s">
        <v>296</v>
      </c>
      <c r="G28" s="5" t="s">
        <v>353</v>
      </c>
      <c r="H28" s="5" t="s">
        <v>354</v>
      </c>
      <c r="I28" s="5" t="s">
        <v>89</v>
      </c>
      <c r="J28" s="5" t="s">
        <v>242</v>
      </c>
      <c r="K28" s="5"/>
      <c r="L28" s="5" t="s">
        <v>95</v>
      </c>
      <c r="M28" s="5"/>
      <c r="N28" s="5"/>
      <c r="O28" s="5"/>
      <c r="P28" s="5"/>
    </row>
    <row r="29" customFormat="false" ht="27.75" hidden="false" customHeight="true" outlineLevel="0" collapsed="false">
      <c r="A29" s="5" t="s">
        <v>355</v>
      </c>
      <c r="B29" s="5" t="s">
        <v>113</v>
      </c>
      <c r="C29" s="5" t="s">
        <v>98</v>
      </c>
      <c r="D29" s="5" t="s">
        <v>356</v>
      </c>
      <c r="E29" s="5" t="s">
        <v>357</v>
      </c>
      <c r="F29" s="5" t="s">
        <v>296</v>
      </c>
      <c r="G29" s="5" t="s">
        <v>358</v>
      </c>
      <c r="H29" s="5" t="s">
        <v>359</v>
      </c>
      <c r="I29" s="5" t="s">
        <v>89</v>
      </c>
      <c r="J29" s="5" t="s">
        <v>195</v>
      </c>
      <c r="K29" s="5"/>
      <c r="L29" s="5" t="s">
        <v>95</v>
      </c>
      <c r="M29" s="5"/>
      <c r="N29" s="5"/>
      <c r="O29" s="5"/>
      <c r="P29" s="5"/>
    </row>
    <row r="30" customFormat="false" ht="15" hidden="false" customHeight="true" outlineLevel="0" collapsed="false">
      <c r="A30" s="5" t="s">
        <v>360</v>
      </c>
      <c r="B30" s="5" t="s">
        <v>113</v>
      </c>
      <c r="C30" s="5" t="s">
        <v>98</v>
      </c>
      <c r="D30" s="5" t="s">
        <v>361</v>
      </c>
      <c r="E30" s="5" t="s">
        <v>362</v>
      </c>
      <c r="F30" s="5" t="s">
        <v>296</v>
      </c>
      <c r="G30" s="5" t="s">
        <v>363</v>
      </c>
      <c r="H30" s="5" t="s">
        <v>364</v>
      </c>
      <c r="I30" s="5" t="s">
        <v>90</v>
      </c>
      <c r="J30" s="5" t="s">
        <v>271</v>
      </c>
      <c r="K30" s="5"/>
      <c r="L30" s="5" t="s">
        <v>95</v>
      </c>
      <c r="M30" s="5"/>
      <c r="N30" s="5"/>
      <c r="O30" s="5"/>
      <c r="P30" s="5"/>
    </row>
    <row r="31" customFormat="false" ht="41.25" hidden="false" customHeight="true" outlineLevel="0" collapsed="false">
      <c r="A31" s="5" t="s">
        <v>365</v>
      </c>
      <c r="B31" s="5" t="s">
        <v>114</v>
      </c>
      <c r="C31" s="5" t="s">
        <v>98</v>
      </c>
      <c r="D31" s="5" t="s">
        <v>366</v>
      </c>
      <c r="E31" s="5" t="s">
        <v>367</v>
      </c>
      <c r="F31" s="5" t="s">
        <v>368</v>
      </c>
      <c r="G31" s="5" t="s">
        <v>369</v>
      </c>
      <c r="H31" s="5" t="s">
        <v>370</v>
      </c>
      <c r="I31" s="5" t="s">
        <v>88</v>
      </c>
      <c r="J31" s="5" t="s">
        <v>195</v>
      </c>
      <c r="K31" s="5" t="s">
        <v>371</v>
      </c>
      <c r="L31" s="5" t="s">
        <v>32</v>
      </c>
      <c r="M31" s="5" t="s">
        <v>197</v>
      </c>
      <c r="N31" s="5" t="s">
        <v>28</v>
      </c>
      <c r="O31" s="5"/>
      <c r="P31" s="5"/>
    </row>
    <row r="32" customFormat="false" ht="41.25" hidden="false" customHeight="true" outlineLevel="0" collapsed="false">
      <c r="A32" s="5" t="s">
        <v>372</v>
      </c>
      <c r="B32" s="5" t="s">
        <v>114</v>
      </c>
      <c r="C32" s="5" t="s">
        <v>98</v>
      </c>
      <c r="D32" s="5" t="s">
        <v>373</v>
      </c>
      <c r="E32" s="5" t="s">
        <v>296</v>
      </c>
      <c r="F32" s="5" t="s">
        <v>374</v>
      </c>
      <c r="G32" s="5" t="s">
        <v>369</v>
      </c>
      <c r="H32" s="5" t="s">
        <v>375</v>
      </c>
      <c r="I32" s="5" t="s">
        <v>88</v>
      </c>
      <c r="J32" s="5" t="s">
        <v>271</v>
      </c>
      <c r="K32" s="5" t="s">
        <v>376</v>
      </c>
      <c r="L32" s="5" t="s">
        <v>32</v>
      </c>
      <c r="M32" s="5" t="s">
        <v>197</v>
      </c>
      <c r="N32" s="5" t="s">
        <v>28</v>
      </c>
      <c r="O32" s="5"/>
      <c r="P32" s="5"/>
    </row>
    <row r="33" customFormat="false" ht="54.75" hidden="false" customHeight="true" outlineLevel="0" collapsed="false">
      <c r="A33" s="5" t="s">
        <v>377</v>
      </c>
      <c r="B33" s="5" t="s">
        <v>114</v>
      </c>
      <c r="C33" s="5" t="s">
        <v>98</v>
      </c>
      <c r="D33" s="5" t="s">
        <v>378</v>
      </c>
      <c r="E33" s="5" t="s">
        <v>379</v>
      </c>
      <c r="F33" s="5" t="s">
        <v>380</v>
      </c>
      <c r="G33" s="5" t="s">
        <v>381</v>
      </c>
      <c r="H33" s="5" t="s">
        <v>382</v>
      </c>
      <c r="I33" s="5" t="s">
        <v>88</v>
      </c>
      <c r="J33" s="5" t="s">
        <v>195</v>
      </c>
      <c r="K33" s="5" t="s">
        <v>383</v>
      </c>
      <c r="L33" s="5" t="s">
        <v>32</v>
      </c>
      <c r="M33" s="5" t="s">
        <v>197</v>
      </c>
      <c r="N33" s="5" t="s">
        <v>28</v>
      </c>
      <c r="O33" s="5"/>
      <c r="P33" s="5"/>
    </row>
    <row r="34" customFormat="false" ht="15" hidden="false" customHeight="true" outlineLevel="0" collapsed="false">
      <c r="A34" s="5" t="s">
        <v>384</v>
      </c>
      <c r="B34" s="5" t="s">
        <v>114</v>
      </c>
      <c r="C34" s="5" t="s">
        <v>98</v>
      </c>
      <c r="D34" s="5" t="s">
        <v>385</v>
      </c>
      <c r="E34" s="5" t="s">
        <v>386</v>
      </c>
      <c r="F34" s="5" t="s">
        <v>296</v>
      </c>
      <c r="G34" s="5" t="s">
        <v>387</v>
      </c>
      <c r="H34" s="5" t="s">
        <v>388</v>
      </c>
      <c r="I34" s="5" t="s">
        <v>88</v>
      </c>
      <c r="J34" s="5" t="s">
        <v>218</v>
      </c>
      <c r="K34" s="5" t="s">
        <v>389</v>
      </c>
      <c r="L34" s="5" t="s">
        <v>32</v>
      </c>
      <c r="M34" s="5" t="s">
        <v>197</v>
      </c>
      <c r="N34" s="5" t="s">
        <v>28</v>
      </c>
      <c r="O34" s="5"/>
      <c r="P34" s="5"/>
    </row>
    <row r="35" customFormat="false" ht="15" hidden="false" customHeight="true" outlineLevel="0" collapsed="false">
      <c r="A35" s="5" t="s">
        <v>390</v>
      </c>
      <c r="B35" s="5" t="s">
        <v>114</v>
      </c>
      <c r="C35" s="5" t="s">
        <v>98</v>
      </c>
      <c r="D35" s="5" t="s">
        <v>391</v>
      </c>
      <c r="E35" s="5" t="s">
        <v>392</v>
      </c>
      <c r="F35" s="5" t="s">
        <v>296</v>
      </c>
      <c r="G35" s="5" t="s">
        <v>393</v>
      </c>
      <c r="H35" s="5" t="s">
        <v>394</v>
      </c>
      <c r="I35" s="5" t="s">
        <v>89</v>
      </c>
      <c r="J35" s="5" t="s">
        <v>242</v>
      </c>
      <c r="K35" s="5"/>
      <c r="L35" s="5" t="s">
        <v>95</v>
      </c>
      <c r="M35" s="5"/>
      <c r="N35" s="5"/>
      <c r="O35" s="5"/>
      <c r="P35" s="5"/>
    </row>
    <row r="36" customFormat="false" ht="15" hidden="false" customHeight="true" outlineLevel="0" collapsed="false">
      <c r="A36" s="5" t="s">
        <v>395</v>
      </c>
      <c r="B36" s="5" t="s">
        <v>114</v>
      </c>
      <c r="C36" s="5" t="s">
        <v>98</v>
      </c>
      <c r="D36" s="5" t="s">
        <v>396</v>
      </c>
      <c r="E36" s="5" t="s">
        <v>296</v>
      </c>
      <c r="F36" s="5" t="s">
        <v>368</v>
      </c>
      <c r="G36" s="5" t="s">
        <v>397</v>
      </c>
      <c r="H36" s="5" t="s">
        <v>364</v>
      </c>
      <c r="I36" s="5" t="s">
        <v>89</v>
      </c>
      <c r="J36" s="5" t="s">
        <v>271</v>
      </c>
      <c r="K36" s="5"/>
      <c r="L36" s="5" t="s">
        <v>95</v>
      </c>
      <c r="M36" s="5"/>
      <c r="N36" s="5"/>
      <c r="O36" s="5"/>
      <c r="P36" s="5"/>
    </row>
    <row r="37" customFormat="false" ht="41.25" hidden="false" customHeight="true" outlineLevel="0" collapsed="false">
      <c r="A37" s="5" t="s">
        <v>398</v>
      </c>
      <c r="B37" s="5" t="s">
        <v>115</v>
      </c>
      <c r="C37" s="5" t="s">
        <v>98</v>
      </c>
      <c r="D37" s="5" t="s">
        <v>399</v>
      </c>
      <c r="E37" s="5" t="s">
        <v>400</v>
      </c>
      <c r="F37" s="5" t="s">
        <v>401</v>
      </c>
      <c r="G37" s="5" t="s">
        <v>402</v>
      </c>
      <c r="H37" s="5" t="s">
        <v>403</v>
      </c>
      <c r="I37" s="5" t="s">
        <v>88</v>
      </c>
      <c r="J37" s="5" t="s">
        <v>195</v>
      </c>
      <c r="K37" s="5" t="s">
        <v>404</v>
      </c>
      <c r="L37" s="5" t="s">
        <v>32</v>
      </c>
      <c r="M37" s="5" t="s">
        <v>197</v>
      </c>
      <c r="N37" s="5" t="s">
        <v>28</v>
      </c>
      <c r="O37" s="5"/>
      <c r="P37" s="5"/>
    </row>
    <row r="38" customFormat="false" ht="27.75" hidden="false" customHeight="true" outlineLevel="0" collapsed="false">
      <c r="A38" s="5" t="s">
        <v>405</v>
      </c>
      <c r="B38" s="5" t="s">
        <v>115</v>
      </c>
      <c r="C38" s="5" t="s">
        <v>98</v>
      </c>
      <c r="D38" s="5" t="s">
        <v>406</v>
      </c>
      <c r="E38" s="5" t="s">
        <v>400</v>
      </c>
      <c r="F38" s="5" t="s">
        <v>407</v>
      </c>
      <c r="G38" s="5" t="s">
        <v>408</v>
      </c>
      <c r="H38" s="5" t="s">
        <v>409</v>
      </c>
      <c r="I38" s="5" t="s">
        <v>88</v>
      </c>
      <c r="J38" s="5" t="s">
        <v>218</v>
      </c>
      <c r="K38" s="5" t="s">
        <v>410</v>
      </c>
      <c r="L38" s="5" t="s">
        <v>32</v>
      </c>
      <c r="M38" s="5" t="s">
        <v>197</v>
      </c>
      <c r="N38" s="5" t="s">
        <v>28</v>
      </c>
      <c r="O38" s="5"/>
      <c r="P38" s="5"/>
    </row>
    <row r="39" customFormat="false" ht="27.75" hidden="false" customHeight="true" outlineLevel="0" collapsed="false">
      <c r="A39" s="5" t="s">
        <v>411</v>
      </c>
      <c r="B39" s="5" t="s">
        <v>115</v>
      </c>
      <c r="C39" s="5" t="s">
        <v>98</v>
      </c>
      <c r="D39" s="5" t="s">
        <v>412</v>
      </c>
      <c r="E39" s="5" t="s">
        <v>400</v>
      </c>
      <c r="F39" s="5" t="s">
        <v>413</v>
      </c>
      <c r="G39" s="5" t="s">
        <v>414</v>
      </c>
      <c r="H39" s="5" t="s">
        <v>415</v>
      </c>
      <c r="I39" s="5" t="s">
        <v>89</v>
      </c>
      <c r="J39" s="5" t="s">
        <v>218</v>
      </c>
      <c r="K39" s="5"/>
      <c r="L39" s="5" t="s">
        <v>95</v>
      </c>
      <c r="M39" s="5"/>
      <c r="N39" s="5"/>
      <c r="O39" s="5"/>
      <c r="P39" s="5"/>
    </row>
    <row r="40" customFormat="false" ht="27.75" hidden="false" customHeight="true" outlineLevel="0" collapsed="false">
      <c r="A40" s="5" t="s">
        <v>416</v>
      </c>
      <c r="B40" s="5" t="s">
        <v>115</v>
      </c>
      <c r="C40" s="5" t="s">
        <v>98</v>
      </c>
      <c r="D40" s="5" t="s">
        <v>417</v>
      </c>
      <c r="E40" s="5" t="s">
        <v>418</v>
      </c>
      <c r="F40" s="5" t="s">
        <v>296</v>
      </c>
      <c r="G40" s="5" t="s">
        <v>419</v>
      </c>
      <c r="H40" s="5" t="s">
        <v>420</v>
      </c>
      <c r="I40" s="5" t="s">
        <v>88</v>
      </c>
      <c r="J40" s="5" t="s">
        <v>271</v>
      </c>
      <c r="K40" s="5" t="s">
        <v>421</v>
      </c>
      <c r="L40" s="5" t="s">
        <v>32</v>
      </c>
      <c r="M40" s="5" t="s">
        <v>197</v>
      </c>
      <c r="N40" s="5" t="s">
        <v>28</v>
      </c>
      <c r="O40" s="5"/>
      <c r="P40" s="5"/>
    </row>
    <row r="41" customFormat="false" ht="27.75" hidden="false" customHeight="true" outlineLevel="0" collapsed="false">
      <c r="A41" s="5" t="s">
        <v>422</v>
      </c>
      <c r="B41" s="5" t="s">
        <v>115</v>
      </c>
      <c r="C41" s="5" t="s">
        <v>98</v>
      </c>
      <c r="D41" s="5" t="s">
        <v>423</v>
      </c>
      <c r="E41" s="5" t="s">
        <v>424</v>
      </c>
      <c r="F41" s="5" t="s">
        <v>296</v>
      </c>
      <c r="G41" s="5" t="s">
        <v>425</v>
      </c>
      <c r="H41" s="5" t="s">
        <v>426</v>
      </c>
      <c r="I41" s="5" t="s">
        <v>89</v>
      </c>
      <c r="J41" s="5" t="s">
        <v>271</v>
      </c>
      <c r="K41" s="5"/>
      <c r="L41" s="5" t="s">
        <v>95</v>
      </c>
      <c r="M41" s="5"/>
      <c r="N41" s="5"/>
      <c r="O41" s="5"/>
      <c r="P41" s="5"/>
    </row>
    <row r="42" customFormat="false" ht="27.75" hidden="false" customHeight="true" outlineLevel="0" collapsed="false">
      <c r="A42" s="5" t="s">
        <v>427</v>
      </c>
      <c r="B42" s="5" t="s">
        <v>116</v>
      </c>
      <c r="C42" s="5" t="s">
        <v>98</v>
      </c>
      <c r="D42" s="5" t="s">
        <v>428</v>
      </c>
      <c r="E42" s="5" t="s">
        <v>429</v>
      </c>
      <c r="F42" s="5" t="s">
        <v>430</v>
      </c>
      <c r="G42" s="5" t="s">
        <v>431</v>
      </c>
      <c r="H42" s="5" t="s">
        <v>432</v>
      </c>
      <c r="I42" s="5" t="s">
        <v>89</v>
      </c>
      <c r="J42" s="5" t="s">
        <v>271</v>
      </c>
      <c r="K42" s="5"/>
      <c r="L42" s="5" t="s">
        <v>95</v>
      </c>
      <c r="M42" s="5"/>
      <c r="N42" s="5"/>
      <c r="O42" s="5"/>
      <c r="P42" s="5"/>
    </row>
    <row r="43" customFormat="false" ht="27.75" hidden="false" customHeight="true" outlineLevel="0" collapsed="false">
      <c r="A43" s="5" t="s">
        <v>433</v>
      </c>
      <c r="B43" s="5" t="s">
        <v>117</v>
      </c>
      <c r="C43" s="5" t="s">
        <v>98</v>
      </c>
      <c r="D43" s="5" t="s">
        <v>434</v>
      </c>
      <c r="E43" s="5" t="s">
        <v>435</v>
      </c>
      <c r="F43" s="5" t="s">
        <v>436</v>
      </c>
      <c r="G43" s="5" t="s">
        <v>437</v>
      </c>
      <c r="H43" s="5" t="s">
        <v>438</v>
      </c>
      <c r="I43" s="5" t="s">
        <v>88</v>
      </c>
      <c r="J43" s="5" t="s">
        <v>271</v>
      </c>
      <c r="K43" s="5" t="s">
        <v>439</v>
      </c>
      <c r="L43" s="5" t="s">
        <v>32</v>
      </c>
      <c r="M43" s="5" t="s">
        <v>197</v>
      </c>
      <c r="N43" s="5" t="s">
        <v>28</v>
      </c>
      <c r="O43" s="5" t="s">
        <v>440</v>
      </c>
      <c r="P43" s="5"/>
    </row>
    <row r="44" customFormat="false" ht="27.75" hidden="false" customHeight="true" outlineLevel="0" collapsed="false">
      <c r="A44" s="5" t="s">
        <v>441</v>
      </c>
      <c r="B44" s="5" t="s">
        <v>117</v>
      </c>
      <c r="C44" s="5" t="s">
        <v>98</v>
      </c>
      <c r="D44" s="5" t="s">
        <v>442</v>
      </c>
      <c r="E44" s="5" t="s">
        <v>443</v>
      </c>
      <c r="F44" s="5" t="s">
        <v>444</v>
      </c>
      <c r="G44" s="5" t="s">
        <v>445</v>
      </c>
      <c r="H44" s="5" t="s">
        <v>446</v>
      </c>
      <c r="I44" s="5" t="s">
        <v>88</v>
      </c>
      <c r="J44" s="5" t="s">
        <v>195</v>
      </c>
      <c r="K44" s="5" t="s">
        <v>447</v>
      </c>
      <c r="L44" s="5" t="s">
        <v>32</v>
      </c>
      <c r="M44" s="5" t="s">
        <v>197</v>
      </c>
      <c r="N44" s="5" t="s">
        <v>28</v>
      </c>
      <c r="O44" s="5"/>
      <c r="P44" s="5"/>
    </row>
    <row r="45" customFormat="false" ht="27.75" hidden="false" customHeight="true" outlineLevel="0" collapsed="false">
      <c r="A45" s="5" t="s">
        <v>448</v>
      </c>
      <c r="B45" s="5" t="s">
        <v>117</v>
      </c>
      <c r="C45" s="5" t="s">
        <v>98</v>
      </c>
      <c r="D45" s="5" t="s">
        <v>449</v>
      </c>
      <c r="E45" s="5" t="s">
        <v>443</v>
      </c>
      <c r="F45" s="5" t="s">
        <v>296</v>
      </c>
      <c r="G45" s="5" t="s">
        <v>450</v>
      </c>
      <c r="H45" s="5" t="s">
        <v>451</v>
      </c>
      <c r="I45" s="5" t="s">
        <v>89</v>
      </c>
      <c r="J45" s="5" t="s">
        <v>195</v>
      </c>
      <c r="K45" s="5"/>
      <c r="L45" s="5" t="s">
        <v>95</v>
      </c>
      <c r="M45" s="5"/>
      <c r="N45" s="5"/>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54.75" hidden="false" customHeight="true" outlineLevel="0" collapsed="false">
      <c r="A2" s="5" t="s">
        <v>452</v>
      </c>
      <c r="B2" s="5" t="s">
        <v>118</v>
      </c>
      <c r="C2" s="5" t="s">
        <v>99</v>
      </c>
      <c r="D2" s="5" t="s">
        <v>453</v>
      </c>
      <c r="E2" s="5" t="s">
        <v>400</v>
      </c>
      <c r="F2" s="5" t="s">
        <v>454</v>
      </c>
      <c r="G2" s="5" t="s">
        <v>455</v>
      </c>
      <c r="H2" s="5" t="s">
        <v>456</v>
      </c>
      <c r="I2" s="5" t="s">
        <v>88</v>
      </c>
      <c r="J2" s="5" t="s">
        <v>195</v>
      </c>
      <c r="K2" s="5" t="s">
        <v>457</v>
      </c>
      <c r="L2" s="5" t="s">
        <v>32</v>
      </c>
      <c r="M2" s="5" t="s">
        <v>197</v>
      </c>
      <c r="N2" s="5" t="s">
        <v>28</v>
      </c>
      <c r="O2" s="5" t="s">
        <v>458</v>
      </c>
      <c r="P2" s="5"/>
    </row>
    <row r="3" customFormat="false" ht="27.75" hidden="false" customHeight="true" outlineLevel="0" collapsed="false">
      <c r="A3" s="5" t="s">
        <v>459</v>
      </c>
      <c r="B3" s="5" t="s">
        <v>118</v>
      </c>
      <c r="C3" s="5" t="s">
        <v>99</v>
      </c>
      <c r="D3" s="5" t="s">
        <v>460</v>
      </c>
      <c r="E3" s="5" t="s">
        <v>400</v>
      </c>
      <c r="F3" s="5" t="s">
        <v>461</v>
      </c>
      <c r="G3" s="5" t="s">
        <v>462</v>
      </c>
      <c r="H3" s="5" t="s">
        <v>463</v>
      </c>
      <c r="I3" s="5" t="s">
        <v>88</v>
      </c>
      <c r="J3" s="5" t="s">
        <v>218</v>
      </c>
      <c r="K3" s="5" t="s">
        <v>464</v>
      </c>
      <c r="L3" s="5" t="s">
        <v>32</v>
      </c>
      <c r="M3" s="5" t="s">
        <v>197</v>
      </c>
      <c r="N3" s="5" t="s">
        <v>28</v>
      </c>
      <c r="O3" s="5"/>
      <c r="P3" s="5"/>
    </row>
    <row r="4" customFormat="false" ht="27.75" hidden="false" customHeight="true" outlineLevel="0" collapsed="false">
      <c r="A4" s="5" t="s">
        <v>465</v>
      </c>
      <c r="B4" s="5" t="s">
        <v>118</v>
      </c>
      <c r="C4" s="5" t="s">
        <v>99</v>
      </c>
      <c r="D4" s="5" t="s">
        <v>466</v>
      </c>
      <c r="E4" s="5" t="s">
        <v>400</v>
      </c>
      <c r="F4" s="5" t="s">
        <v>467</v>
      </c>
      <c r="G4" s="5" t="s">
        <v>468</v>
      </c>
      <c r="H4" s="5" t="s">
        <v>469</v>
      </c>
      <c r="I4" s="5" t="s">
        <v>89</v>
      </c>
      <c r="J4" s="5" t="s">
        <v>218</v>
      </c>
      <c r="K4" s="5"/>
      <c r="L4" s="5" t="s">
        <v>95</v>
      </c>
      <c r="M4" s="5"/>
      <c r="N4" s="5"/>
      <c r="O4" s="5"/>
      <c r="P4" s="5"/>
    </row>
    <row r="5" customFormat="false" ht="27.75" hidden="false" customHeight="true" outlineLevel="0" collapsed="false">
      <c r="A5" s="5" t="s">
        <v>470</v>
      </c>
      <c r="B5" s="5" t="s">
        <v>118</v>
      </c>
      <c r="C5" s="5" t="s">
        <v>99</v>
      </c>
      <c r="D5" s="5" t="s">
        <v>471</v>
      </c>
      <c r="E5" s="5" t="s">
        <v>400</v>
      </c>
      <c r="F5" s="5" t="s">
        <v>472</v>
      </c>
      <c r="G5" s="5" t="s">
        <v>473</v>
      </c>
      <c r="H5" s="5" t="s">
        <v>474</v>
      </c>
      <c r="I5" s="5" t="s">
        <v>90</v>
      </c>
      <c r="J5" s="5" t="s">
        <v>242</v>
      </c>
      <c r="K5" s="5"/>
      <c r="L5" s="5" t="s">
        <v>95</v>
      </c>
      <c r="M5" s="5"/>
      <c r="N5" s="5"/>
      <c r="O5" s="5"/>
      <c r="P5" s="5"/>
    </row>
    <row r="6" customFormat="false" ht="27.75" hidden="false" customHeight="true" outlineLevel="0" collapsed="false">
      <c r="A6" s="5" t="s">
        <v>475</v>
      </c>
      <c r="B6" s="5" t="s">
        <v>118</v>
      </c>
      <c r="C6" s="5" t="s">
        <v>99</v>
      </c>
      <c r="D6" s="5" t="s">
        <v>476</v>
      </c>
      <c r="E6" s="5" t="s">
        <v>400</v>
      </c>
      <c r="F6" s="5" t="s">
        <v>477</v>
      </c>
      <c r="G6" s="5" t="s">
        <v>478</v>
      </c>
      <c r="H6" s="5" t="s">
        <v>479</v>
      </c>
      <c r="I6" s="5" t="s">
        <v>89</v>
      </c>
      <c r="J6" s="5" t="s">
        <v>218</v>
      </c>
      <c r="K6" s="5"/>
      <c r="L6" s="5" t="s">
        <v>95</v>
      </c>
      <c r="M6" s="5"/>
      <c r="N6" s="5"/>
      <c r="O6" s="5"/>
      <c r="P6" s="5"/>
    </row>
    <row r="7" customFormat="false" ht="27.75" hidden="false" customHeight="true" outlineLevel="0" collapsed="false">
      <c r="A7" s="5" t="s">
        <v>480</v>
      </c>
      <c r="B7" s="5" t="s">
        <v>118</v>
      </c>
      <c r="C7" s="5" t="s">
        <v>99</v>
      </c>
      <c r="D7" s="5" t="s">
        <v>481</v>
      </c>
      <c r="E7" s="5" t="s">
        <v>400</v>
      </c>
      <c r="F7" s="5" t="s">
        <v>482</v>
      </c>
      <c r="G7" s="5" t="s">
        <v>483</v>
      </c>
      <c r="H7" s="5" t="s">
        <v>484</v>
      </c>
      <c r="I7" s="5" t="s">
        <v>89</v>
      </c>
      <c r="J7" s="5" t="s">
        <v>195</v>
      </c>
      <c r="K7" s="5"/>
      <c r="L7" s="5" t="s">
        <v>95</v>
      </c>
      <c r="M7" s="5"/>
      <c r="N7" s="5"/>
      <c r="O7" s="5"/>
      <c r="P7" s="5"/>
    </row>
    <row r="8" customFormat="false" ht="15" hidden="false" customHeight="true" outlineLevel="0" collapsed="false">
      <c r="A8" s="5" t="s">
        <v>485</v>
      </c>
      <c r="B8" s="5" t="s">
        <v>118</v>
      </c>
      <c r="C8" s="5" t="s">
        <v>99</v>
      </c>
      <c r="D8" s="5" t="s">
        <v>486</v>
      </c>
      <c r="E8" s="5" t="s">
        <v>400</v>
      </c>
      <c r="F8" s="5" t="s">
        <v>487</v>
      </c>
      <c r="G8" s="5" t="s">
        <v>488</v>
      </c>
      <c r="H8" s="5" t="s">
        <v>489</v>
      </c>
      <c r="I8" s="5" t="s">
        <v>89</v>
      </c>
      <c r="J8" s="5" t="s">
        <v>242</v>
      </c>
      <c r="K8" s="5"/>
      <c r="L8" s="5" t="s">
        <v>95</v>
      </c>
      <c r="M8" s="5"/>
      <c r="N8" s="5"/>
      <c r="O8" s="5"/>
      <c r="P8" s="5"/>
    </row>
    <row r="9" customFormat="false" ht="15" hidden="false" customHeight="true" outlineLevel="0" collapsed="false">
      <c r="A9" s="5" t="s">
        <v>490</v>
      </c>
      <c r="B9" s="5" t="s">
        <v>118</v>
      </c>
      <c r="C9" s="5" t="s">
        <v>99</v>
      </c>
      <c r="D9" s="5" t="s">
        <v>491</v>
      </c>
      <c r="E9" s="5" t="s">
        <v>400</v>
      </c>
      <c r="F9" s="5" t="s">
        <v>492</v>
      </c>
      <c r="G9" s="5" t="s">
        <v>493</v>
      </c>
      <c r="H9" s="5" t="s">
        <v>494</v>
      </c>
      <c r="I9" s="5" t="s">
        <v>89</v>
      </c>
      <c r="J9" s="5" t="s">
        <v>218</v>
      </c>
      <c r="K9" s="5"/>
      <c r="L9" s="5" t="s">
        <v>95</v>
      </c>
      <c r="M9" s="5"/>
      <c r="N9" s="5"/>
      <c r="O9" s="5"/>
      <c r="P9" s="5"/>
    </row>
    <row r="10" customFormat="false" ht="54.75" hidden="false" customHeight="true" outlineLevel="0" collapsed="false">
      <c r="A10" s="5" t="s">
        <v>495</v>
      </c>
      <c r="B10" s="5" t="s">
        <v>119</v>
      </c>
      <c r="C10" s="5" t="s">
        <v>99</v>
      </c>
      <c r="D10" s="5" t="s">
        <v>496</v>
      </c>
      <c r="E10" s="5" t="s">
        <v>400</v>
      </c>
      <c r="F10" s="5" t="s">
        <v>497</v>
      </c>
      <c r="G10" s="5" t="s">
        <v>498</v>
      </c>
      <c r="H10" s="5" t="s">
        <v>499</v>
      </c>
      <c r="I10" s="5" t="s">
        <v>88</v>
      </c>
      <c r="J10" s="5" t="s">
        <v>195</v>
      </c>
      <c r="K10" s="5" t="s">
        <v>500</v>
      </c>
      <c r="L10" s="5" t="s">
        <v>32</v>
      </c>
      <c r="M10" s="5" t="s">
        <v>197</v>
      </c>
      <c r="N10" s="5" t="s">
        <v>28</v>
      </c>
      <c r="O10" s="5"/>
      <c r="P10" s="5"/>
    </row>
    <row r="11" customFormat="false" ht="27.75" hidden="false" customHeight="true" outlineLevel="0" collapsed="false">
      <c r="A11" s="5" t="s">
        <v>501</v>
      </c>
      <c r="B11" s="5" t="s">
        <v>119</v>
      </c>
      <c r="C11" s="5" t="s">
        <v>99</v>
      </c>
      <c r="D11" s="5" t="s">
        <v>502</v>
      </c>
      <c r="E11" s="5" t="s">
        <v>400</v>
      </c>
      <c r="F11" s="5" t="s">
        <v>503</v>
      </c>
      <c r="G11" s="5" t="s">
        <v>504</v>
      </c>
      <c r="H11" s="5" t="s">
        <v>505</v>
      </c>
      <c r="I11" s="5" t="s">
        <v>88</v>
      </c>
      <c r="J11" s="5" t="s">
        <v>218</v>
      </c>
      <c r="K11" s="5" t="s">
        <v>506</v>
      </c>
      <c r="L11" s="5" t="s">
        <v>32</v>
      </c>
      <c r="M11" s="5" t="s">
        <v>197</v>
      </c>
      <c r="N11" s="5" t="s">
        <v>28</v>
      </c>
      <c r="O11" s="5"/>
      <c r="P11" s="5"/>
    </row>
    <row r="12" customFormat="false" ht="27.75" hidden="false" customHeight="true" outlineLevel="0" collapsed="false">
      <c r="A12" s="5" t="s">
        <v>507</v>
      </c>
      <c r="B12" s="5" t="s">
        <v>119</v>
      </c>
      <c r="C12" s="5" t="s">
        <v>99</v>
      </c>
      <c r="D12" s="5" t="s">
        <v>508</v>
      </c>
      <c r="E12" s="5" t="s">
        <v>509</v>
      </c>
      <c r="F12" s="5" t="s">
        <v>296</v>
      </c>
      <c r="G12" s="5" t="s">
        <v>510</v>
      </c>
      <c r="H12" s="5" t="s">
        <v>511</v>
      </c>
      <c r="I12" s="5" t="s">
        <v>89</v>
      </c>
      <c r="J12" s="5" t="s">
        <v>195</v>
      </c>
      <c r="K12" s="5"/>
      <c r="L12" s="5" t="s">
        <v>95</v>
      </c>
      <c r="M12" s="5"/>
      <c r="N12" s="5"/>
      <c r="O12" s="5"/>
      <c r="P12" s="5"/>
    </row>
    <row r="13" customFormat="false" ht="41.25" hidden="false" customHeight="true" outlineLevel="0" collapsed="false">
      <c r="A13" s="5" t="s">
        <v>512</v>
      </c>
      <c r="B13" s="5" t="s">
        <v>119</v>
      </c>
      <c r="C13" s="5" t="s">
        <v>99</v>
      </c>
      <c r="D13" s="5" t="s">
        <v>513</v>
      </c>
      <c r="E13" s="5" t="s">
        <v>400</v>
      </c>
      <c r="F13" s="5" t="s">
        <v>514</v>
      </c>
      <c r="G13" s="5" t="s">
        <v>515</v>
      </c>
      <c r="H13" s="5" t="s">
        <v>516</v>
      </c>
      <c r="I13" s="5" t="s">
        <v>88</v>
      </c>
      <c r="J13" s="5" t="s">
        <v>195</v>
      </c>
      <c r="K13" s="5" t="s">
        <v>517</v>
      </c>
      <c r="L13" s="5" t="s">
        <v>32</v>
      </c>
      <c r="M13" s="5" t="s">
        <v>197</v>
      </c>
      <c r="N13" s="5" t="s">
        <v>28</v>
      </c>
      <c r="O13" s="5"/>
      <c r="P13" s="5"/>
    </row>
    <row r="14" customFormat="false" ht="41.25" hidden="false" customHeight="true" outlineLevel="0" collapsed="false">
      <c r="A14" s="5" t="s">
        <v>518</v>
      </c>
      <c r="B14" s="5" t="s">
        <v>119</v>
      </c>
      <c r="C14" s="5" t="s">
        <v>99</v>
      </c>
      <c r="D14" s="5" t="s">
        <v>519</v>
      </c>
      <c r="E14" s="5" t="s">
        <v>400</v>
      </c>
      <c r="F14" s="5" t="s">
        <v>520</v>
      </c>
      <c r="G14" s="5" t="s">
        <v>521</v>
      </c>
      <c r="H14" s="5" t="s">
        <v>522</v>
      </c>
      <c r="I14" s="5" t="s">
        <v>88</v>
      </c>
      <c r="J14" s="5" t="s">
        <v>195</v>
      </c>
      <c r="K14" s="5" t="s">
        <v>523</v>
      </c>
      <c r="L14" s="5" t="s">
        <v>32</v>
      </c>
      <c r="M14" s="5" t="s">
        <v>197</v>
      </c>
      <c r="N14" s="5" t="s">
        <v>28</v>
      </c>
      <c r="O14" s="5"/>
      <c r="P14" s="5"/>
    </row>
    <row r="15" customFormat="false" ht="27.75" hidden="false" customHeight="true" outlineLevel="0" collapsed="false">
      <c r="A15" s="5" t="s">
        <v>524</v>
      </c>
      <c r="B15" s="5" t="s">
        <v>119</v>
      </c>
      <c r="C15" s="5" t="s">
        <v>99</v>
      </c>
      <c r="D15" s="5" t="s">
        <v>525</v>
      </c>
      <c r="E15" s="5" t="s">
        <v>400</v>
      </c>
      <c r="F15" s="5" t="s">
        <v>526</v>
      </c>
      <c r="G15" s="5" t="s">
        <v>527</v>
      </c>
      <c r="H15" s="5" t="s">
        <v>528</v>
      </c>
      <c r="I15" s="5" t="s">
        <v>89</v>
      </c>
      <c r="J15" s="5" t="s">
        <v>242</v>
      </c>
      <c r="K15" s="5"/>
      <c r="L15" s="5" t="s">
        <v>95</v>
      </c>
      <c r="M15" s="5"/>
      <c r="N15" s="5"/>
      <c r="O15" s="5"/>
      <c r="P15" s="5"/>
    </row>
    <row r="16" customFormat="false" ht="41.25" hidden="false" customHeight="true" outlineLevel="0" collapsed="false">
      <c r="A16" s="5" t="s">
        <v>529</v>
      </c>
      <c r="B16" s="5" t="s">
        <v>120</v>
      </c>
      <c r="C16" s="5" t="s">
        <v>99</v>
      </c>
      <c r="D16" s="5" t="s">
        <v>530</v>
      </c>
      <c r="E16" s="5" t="s">
        <v>531</v>
      </c>
      <c r="F16" s="5" t="s">
        <v>532</v>
      </c>
      <c r="G16" s="5" t="s">
        <v>533</v>
      </c>
      <c r="H16" s="5" t="s">
        <v>534</v>
      </c>
      <c r="I16" s="5" t="s">
        <v>88</v>
      </c>
      <c r="J16" s="5" t="s">
        <v>195</v>
      </c>
      <c r="K16" s="5" t="s">
        <v>535</v>
      </c>
      <c r="L16" s="5" t="s">
        <v>32</v>
      </c>
      <c r="M16" s="5" t="s">
        <v>197</v>
      </c>
      <c r="N16" s="5" t="s">
        <v>28</v>
      </c>
      <c r="O16" s="5"/>
      <c r="P16" s="5"/>
    </row>
    <row r="17" customFormat="false" ht="15" hidden="false" customHeight="true" outlineLevel="0" collapsed="false">
      <c r="A17" s="5" t="s">
        <v>536</v>
      </c>
      <c r="B17" s="5" t="s">
        <v>120</v>
      </c>
      <c r="C17" s="5" t="s">
        <v>99</v>
      </c>
      <c r="D17" s="5" t="s">
        <v>537</v>
      </c>
      <c r="E17" s="5" t="s">
        <v>400</v>
      </c>
      <c r="F17" s="5" t="s">
        <v>538</v>
      </c>
      <c r="G17" s="5" t="s">
        <v>539</v>
      </c>
      <c r="H17" s="5" t="s">
        <v>540</v>
      </c>
      <c r="I17" s="5" t="s">
        <v>88</v>
      </c>
      <c r="J17" s="5" t="s">
        <v>195</v>
      </c>
      <c r="K17" s="5" t="s">
        <v>541</v>
      </c>
      <c r="L17" s="5" t="s">
        <v>32</v>
      </c>
      <c r="M17" s="5" t="s">
        <v>197</v>
      </c>
      <c r="N17" s="5" t="s">
        <v>28</v>
      </c>
      <c r="O17" s="5"/>
      <c r="P17" s="5"/>
    </row>
    <row r="18" customFormat="false" ht="15" hidden="false" customHeight="true" outlineLevel="0" collapsed="false">
      <c r="A18" s="5" t="s">
        <v>542</v>
      </c>
      <c r="B18" s="5" t="s">
        <v>120</v>
      </c>
      <c r="C18" s="5" t="s">
        <v>99</v>
      </c>
      <c r="D18" s="5" t="s">
        <v>543</v>
      </c>
      <c r="E18" s="5" t="s">
        <v>400</v>
      </c>
      <c r="F18" s="5" t="s">
        <v>544</v>
      </c>
      <c r="G18" s="5" t="s">
        <v>545</v>
      </c>
      <c r="H18" s="5" t="s">
        <v>546</v>
      </c>
      <c r="I18" s="5" t="s">
        <v>88</v>
      </c>
      <c r="J18" s="5" t="s">
        <v>218</v>
      </c>
      <c r="K18" s="5" t="s">
        <v>547</v>
      </c>
      <c r="L18" s="5" t="s">
        <v>32</v>
      </c>
      <c r="M18" s="5" t="s">
        <v>197</v>
      </c>
      <c r="N18" s="5" t="s">
        <v>28</v>
      </c>
      <c r="O18" s="5"/>
      <c r="P18" s="5"/>
    </row>
    <row r="19" customFormat="false" ht="15" hidden="false" customHeight="true" outlineLevel="0" collapsed="false">
      <c r="A19" s="5" t="s">
        <v>548</v>
      </c>
      <c r="B19" s="5" t="s">
        <v>120</v>
      </c>
      <c r="C19" s="5" t="s">
        <v>99</v>
      </c>
      <c r="D19" s="5" t="s">
        <v>549</v>
      </c>
      <c r="E19" s="5" t="s">
        <v>400</v>
      </c>
      <c r="F19" s="5" t="s">
        <v>550</v>
      </c>
      <c r="G19" s="5" t="s">
        <v>551</v>
      </c>
      <c r="H19" s="5" t="s">
        <v>552</v>
      </c>
      <c r="I19" s="5" t="s">
        <v>88</v>
      </c>
      <c r="J19" s="5" t="s">
        <v>271</v>
      </c>
      <c r="K19" s="5" t="s">
        <v>553</v>
      </c>
      <c r="L19" s="5" t="s">
        <v>32</v>
      </c>
      <c r="M19" s="5" t="s">
        <v>197</v>
      </c>
      <c r="N19" s="5" t="s">
        <v>28</v>
      </c>
      <c r="O19" s="5"/>
      <c r="P19" s="5"/>
    </row>
    <row r="20" customFormat="false" ht="27.75" hidden="false" customHeight="true" outlineLevel="0" collapsed="false">
      <c r="A20" s="5" t="s">
        <v>554</v>
      </c>
      <c r="B20" s="5" t="s">
        <v>120</v>
      </c>
      <c r="C20" s="5" t="s">
        <v>99</v>
      </c>
      <c r="D20" s="5" t="s">
        <v>555</v>
      </c>
      <c r="E20" s="5" t="s">
        <v>556</v>
      </c>
      <c r="F20" s="5" t="s">
        <v>557</v>
      </c>
      <c r="G20" s="5" t="s">
        <v>558</v>
      </c>
      <c r="H20" s="5" t="s">
        <v>559</v>
      </c>
      <c r="I20" s="5" t="s">
        <v>88</v>
      </c>
      <c r="J20" s="5" t="s">
        <v>242</v>
      </c>
      <c r="K20" s="5" t="s">
        <v>560</v>
      </c>
      <c r="L20" s="5" t="s">
        <v>32</v>
      </c>
      <c r="M20" s="5" t="s">
        <v>197</v>
      </c>
      <c r="N20" s="5" t="s">
        <v>28</v>
      </c>
      <c r="O20" s="5"/>
      <c r="P20" s="5"/>
    </row>
    <row r="21" customFormat="false" ht="15" hidden="false" customHeight="true" outlineLevel="0" collapsed="false">
      <c r="A21" s="5" t="s">
        <v>561</v>
      </c>
      <c r="B21" s="5" t="s">
        <v>120</v>
      </c>
      <c r="C21" s="5" t="s">
        <v>99</v>
      </c>
      <c r="D21" s="5" t="s">
        <v>562</v>
      </c>
      <c r="E21" s="5" t="s">
        <v>563</v>
      </c>
      <c r="F21" s="5" t="s">
        <v>564</v>
      </c>
      <c r="G21" s="5" t="s">
        <v>565</v>
      </c>
      <c r="H21" s="5" t="s">
        <v>566</v>
      </c>
      <c r="I21" s="5" t="s">
        <v>88</v>
      </c>
      <c r="J21" s="5" t="s">
        <v>242</v>
      </c>
      <c r="K21" s="5" t="s">
        <v>567</v>
      </c>
      <c r="L21" s="5" t="s">
        <v>32</v>
      </c>
      <c r="M21" s="5" t="s">
        <v>197</v>
      </c>
      <c r="N21" s="5" t="s">
        <v>28</v>
      </c>
      <c r="O21" s="5"/>
      <c r="P21" s="5"/>
    </row>
    <row r="22" customFormat="false" ht="27.75" hidden="false" customHeight="true" outlineLevel="0" collapsed="false">
      <c r="A22" s="5" t="s">
        <v>568</v>
      </c>
      <c r="B22" s="5" t="s">
        <v>120</v>
      </c>
      <c r="C22" s="5" t="s">
        <v>99</v>
      </c>
      <c r="D22" s="5" t="s">
        <v>569</v>
      </c>
      <c r="E22" s="5" t="s">
        <v>570</v>
      </c>
      <c r="F22" s="5" t="s">
        <v>296</v>
      </c>
      <c r="G22" s="5" t="s">
        <v>571</v>
      </c>
      <c r="H22" s="5" t="s">
        <v>572</v>
      </c>
      <c r="I22" s="5" t="s">
        <v>89</v>
      </c>
      <c r="J22" s="5" t="s">
        <v>195</v>
      </c>
      <c r="K22" s="5"/>
      <c r="L22" s="5" t="s">
        <v>95</v>
      </c>
      <c r="M22" s="5"/>
      <c r="N22" s="5"/>
      <c r="O22" s="5"/>
      <c r="P22" s="5"/>
    </row>
    <row r="23" customFormat="false" ht="27.75" hidden="false" customHeight="true" outlineLevel="0" collapsed="false">
      <c r="A23" s="5" t="s">
        <v>573</v>
      </c>
      <c r="B23" s="5" t="s">
        <v>120</v>
      </c>
      <c r="C23" s="5" t="s">
        <v>99</v>
      </c>
      <c r="D23" s="5" t="s">
        <v>574</v>
      </c>
      <c r="E23" s="5" t="s">
        <v>575</v>
      </c>
      <c r="F23" s="5" t="s">
        <v>296</v>
      </c>
      <c r="G23" s="5" t="s">
        <v>576</v>
      </c>
      <c r="H23" s="5" t="s">
        <v>577</v>
      </c>
      <c r="I23" s="5" t="s">
        <v>88</v>
      </c>
      <c r="J23" s="5" t="s">
        <v>195</v>
      </c>
      <c r="K23" s="5" t="s">
        <v>578</v>
      </c>
      <c r="L23" s="5" t="s">
        <v>32</v>
      </c>
      <c r="M23" s="5" t="s">
        <v>197</v>
      </c>
      <c r="N23" s="5" t="s">
        <v>28</v>
      </c>
      <c r="O23" s="5"/>
      <c r="P23" s="5"/>
    </row>
    <row r="24" customFormat="false" ht="15" hidden="false" customHeight="true" outlineLevel="0" collapsed="false">
      <c r="A24" s="5" t="s">
        <v>579</v>
      </c>
      <c r="B24" s="5" t="s">
        <v>120</v>
      </c>
      <c r="C24" s="5" t="s">
        <v>99</v>
      </c>
      <c r="D24" s="5" t="s">
        <v>580</v>
      </c>
      <c r="E24" s="5" t="s">
        <v>581</v>
      </c>
      <c r="F24" s="5" t="s">
        <v>296</v>
      </c>
      <c r="G24" s="5" t="s">
        <v>582</v>
      </c>
      <c r="H24" s="5" t="s">
        <v>583</v>
      </c>
      <c r="I24" s="5" t="s">
        <v>88</v>
      </c>
      <c r="J24" s="5" t="s">
        <v>195</v>
      </c>
      <c r="K24" s="5" t="s">
        <v>584</v>
      </c>
      <c r="L24" s="5" t="s">
        <v>32</v>
      </c>
      <c r="M24" s="5" t="s">
        <v>197</v>
      </c>
      <c r="N24" s="5" t="s">
        <v>28</v>
      </c>
      <c r="O24" s="5"/>
      <c r="P24" s="5"/>
    </row>
    <row r="25" customFormat="false" ht="27.75" hidden="false" customHeight="true" outlineLevel="0" collapsed="false">
      <c r="A25" s="5" t="s">
        <v>585</v>
      </c>
      <c r="B25" s="5" t="s">
        <v>120</v>
      </c>
      <c r="C25" s="5" t="s">
        <v>99</v>
      </c>
      <c r="D25" s="5" t="s">
        <v>586</v>
      </c>
      <c r="E25" s="5" t="s">
        <v>587</v>
      </c>
      <c r="F25" s="5" t="s">
        <v>296</v>
      </c>
      <c r="G25" s="5" t="s">
        <v>588</v>
      </c>
      <c r="H25" s="5" t="s">
        <v>589</v>
      </c>
      <c r="I25" s="5" t="s">
        <v>89</v>
      </c>
      <c r="J25" s="5" t="s">
        <v>195</v>
      </c>
      <c r="K25" s="5"/>
      <c r="L25" s="5" t="s">
        <v>95</v>
      </c>
      <c r="M25" s="5"/>
      <c r="N25" s="5"/>
      <c r="O25" s="5"/>
      <c r="P25" s="5"/>
    </row>
    <row r="26" customFormat="false" ht="41.25" hidden="false" customHeight="true" outlineLevel="0" collapsed="false">
      <c r="A26" s="5" t="s">
        <v>590</v>
      </c>
      <c r="B26" s="5" t="s">
        <v>121</v>
      </c>
      <c r="C26" s="5" t="s">
        <v>99</v>
      </c>
      <c r="D26" s="5" t="s">
        <v>591</v>
      </c>
      <c r="E26" s="5" t="s">
        <v>592</v>
      </c>
      <c r="F26" s="5" t="s">
        <v>296</v>
      </c>
      <c r="G26" s="5" t="s">
        <v>593</v>
      </c>
      <c r="H26" s="5" t="s">
        <v>594</v>
      </c>
      <c r="I26" s="5" t="s">
        <v>89</v>
      </c>
      <c r="J26" s="5" t="s">
        <v>195</v>
      </c>
      <c r="K26" s="5"/>
      <c r="L26" s="5" t="s">
        <v>95</v>
      </c>
      <c r="M26" s="5"/>
      <c r="N26" s="5"/>
      <c r="O26" s="5"/>
      <c r="P26" s="5"/>
    </row>
    <row r="27" customFormat="false" ht="41.25" hidden="false" customHeight="true" outlineLevel="0" collapsed="false">
      <c r="A27" s="5" t="s">
        <v>595</v>
      </c>
      <c r="B27" s="5" t="s">
        <v>121</v>
      </c>
      <c r="C27" s="5" t="s">
        <v>99</v>
      </c>
      <c r="D27" s="5" t="s">
        <v>596</v>
      </c>
      <c r="E27" s="5" t="s">
        <v>597</v>
      </c>
      <c r="F27" s="5" t="s">
        <v>296</v>
      </c>
      <c r="G27" s="5" t="s">
        <v>598</v>
      </c>
      <c r="H27" s="5" t="s">
        <v>599</v>
      </c>
      <c r="I27" s="5" t="s">
        <v>88</v>
      </c>
      <c r="J27" s="5" t="s">
        <v>271</v>
      </c>
      <c r="K27" s="5" t="s">
        <v>600</v>
      </c>
      <c r="L27" s="5" t="s">
        <v>32</v>
      </c>
      <c r="M27" s="5" t="s">
        <v>197</v>
      </c>
      <c r="N27" s="5" t="s">
        <v>28</v>
      </c>
      <c r="O27" s="5"/>
      <c r="P27" s="5"/>
    </row>
    <row r="28" customFormat="false" ht="41.25" hidden="false" customHeight="true" outlineLevel="0" collapsed="false">
      <c r="A28" s="5" t="s">
        <v>601</v>
      </c>
      <c r="B28" s="5" t="s">
        <v>122</v>
      </c>
      <c r="C28" s="5" t="s">
        <v>99</v>
      </c>
      <c r="D28" s="5" t="s">
        <v>602</v>
      </c>
      <c r="E28" s="5" t="s">
        <v>603</v>
      </c>
      <c r="F28" s="5" t="s">
        <v>604</v>
      </c>
      <c r="G28" s="5" t="s">
        <v>605</v>
      </c>
      <c r="H28" s="5" t="s">
        <v>606</v>
      </c>
      <c r="I28" s="5" t="s">
        <v>88</v>
      </c>
      <c r="J28" s="5" t="s">
        <v>195</v>
      </c>
      <c r="K28" s="5" t="s">
        <v>607</v>
      </c>
      <c r="L28" s="5" t="s">
        <v>32</v>
      </c>
      <c r="M28" s="5" t="s">
        <v>197</v>
      </c>
      <c r="N28" s="5" t="s">
        <v>28</v>
      </c>
      <c r="O28" s="5"/>
      <c r="P28" s="5"/>
    </row>
    <row r="29" customFormat="false" ht="15" hidden="false" customHeight="true" outlineLevel="0" collapsed="false">
      <c r="A29" s="5" t="s">
        <v>608</v>
      </c>
      <c r="B29" s="5" t="s">
        <v>122</v>
      </c>
      <c r="C29" s="5" t="s">
        <v>99</v>
      </c>
      <c r="D29" s="5" t="s">
        <v>609</v>
      </c>
      <c r="E29" s="5" t="s">
        <v>610</v>
      </c>
      <c r="F29" s="5" t="s">
        <v>611</v>
      </c>
      <c r="G29" s="5" t="s">
        <v>612</v>
      </c>
      <c r="H29" s="5" t="s">
        <v>613</v>
      </c>
      <c r="I29" s="5" t="s">
        <v>89</v>
      </c>
      <c r="J29" s="5" t="s">
        <v>195</v>
      </c>
      <c r="K29" s="5"/>
      <c r="L29" s="5" t="s">
        <v>95</v>
      </c>
      <c r="M29" s="5"/>
      <c r="N29" s="5"/>
      <c r="O29" s="5"/>
      <c r="P29" s="5"/>
    </row>
    <row r="30" customFormat="false" ht="27.75" hidden="false" customHeight="true" outlineLevel="0" collapsed="false">
      <c r="A30" s="5" t="s">
        <v>614</v>
      </c>
      <c r="B30" s="5" t="s">
        <v>122</v>
      </c>
      <c r="C30" s="5" t="s">
        <v>99</v>
      </c>
      <c r="D30" s="5" t="s">
        <v>615</v>
      </c>
      <c r="E30" s="5" t="s">
        <v>616</v>
      </c>
      <c r="F30" s="5" t="s">
        <v>617</v>
      </c>
      <c r="G30" s="5" t="s">
        <v>618</v>
      </c>
      <c r="H30" s="5" t="s">
        <v>619</v>
      </c>
      <c r="I30" s="5" t="s">
        <v>89</v>
      </c>
      <c r="J30" s="5" t="s">
        <v>195</v>
      </c>
      <c r="K30" s="5"/>
      <c r="L30" s="5" t="s">
        <v>95</v>
      </c>
      <c r="M30" s="5"/>
      <c r="N30" s="5"/>
      <c r="O30" s="5"/>
      <c r="P30" s="5"/>
    </row>
    <row r="31" customFormat="false" ht="15" hidden="false" customHeight="true" outlineLevel="0" collapsed="false">
      <c r="A31" s="5" t="s">
        <v>620</v>
      </c>
      <c r="B31" s="5" t="s">
        <v>122</v>
      </c>
      <c r="C31" s="5" t="s">
        <v>99</v>
      </c>
      <c r="D31" s="5" t="s">
        <v>621</v>
      </c>
      <c r="E31" s="5" t="s">
        <v>622</v>
      </c>
      <c r="F31" s="5" t="s">
        <v>623</v>
      </c>
      <c r="G31" s="5" t="s">
        <v>624</v>
      </c>
      <c r="H31" s="5" t="s">
        <v>625</v>
      </c>
      <c r="I31" s="5" t="s">
        <v>88</v>
      </c>
      <c r="J31" s="5" t="s">
        <v>195</v>
      </c>
      <c r="K31" s="5" t="s">
        <v>626</v>
      </c>
      <c r="L31" s="5" t="s">
        <v>32</v>
      </c>
      <c r="M31" s="5" t="s">
        <v>197</v>
      </c>
      <c r="N31" s="5" t="s">
        <v>28</v>
      </c>
      <c r="O31" s="5"/>
      <c r="P31" s="5"/>
    </row>
    <row r="32" customFormat="false" ht="27.75" hidden="false" customHeight="true" outlineLevel="0" collapsed="false">
      <c r="A32" s="5" t="s">
        <v>627</v>
      </c>
      <c r="B32" s="5" t="s">
        <v>122</v>
      </c>
      <c r="C32" s="5" t="s">
        <v>99</v>
      </c>
      <c r="D32" s="5" t="s">
        <v>628</v>
      </c>
      <c r="E32" s="5" t="s">
        <v>610</v>
      </c>
      <c r="F32" s="5" t="s">
        <v>629</v>
      </c>
      <c r="G32" s="5" t="s">
        <v>630</v>
      </c>
      <c r="H32" s="5" t="s">
        <v>631</v>
      </c>
      <c r="I32" s="5" t="s">
        <v>88</v>
      </c>
      <c r="J32" s="5" t="s">
        <v>195</v>
      </c>
      <c r="K32" s="5" t="s">
        <v>632</v>
      </c>
      <c r="L32" s="5" t="s">
        <v>32</v>
      </c>
      <c r="M32" s="5" t="s">
        <v>197</v>
      </c>
      <c r="N32" s="5" t="s">
        <v>28</v>
      </c>
      <c r="O32" s="5"/>
      <c r="P32" s="5"/>
    </row>
    <row r="33" customFormat="false" ht="15" hidden="false" customHeight="true" outlineLevel="0" collapsed="false">
      <c r="A33" s="5" t="s">
        <v>633</v>
      </c>
      <c r="B33" s="5" t="s">
        <v>122</v>
      </c>
      <c r="C33" s="5" t="s">
        <v>99</v>
      </c>
      <c r="D33" s="5" t="s">
        <v>634</v>
      </c>
      <c r="E33" s="5" t="s">
        <v>635</v>
      </c>
      <c r="F33" s="5" t="s">
        <v>636</v>
      </c>
      <c r="G33" s="5" t="s">
        <v>637</v>
      </c>
      <c r="H33" s="5" t="s">
        <v>638</v>
      </c>
      <c r="I33" s="5" t="s">
        <v>88</v>
      </c>
      <c r="J33" s="5" t="s">
        <v>195</v>
      </c>
      <c r="K33" s="5" t="s">
        <v>639</v>
      </c>
      <c r="L33" s="5" t="s">
        <v>32</v>
      </c>
      <c r="M33" s="5" t="s">
        <v>197</v>
      </c>
      <c r="N33" s="5" t="s">
        <v>28</v>
      </c>
      <c r="O33" s="5"/>
      <c r="P33" s="5"/>
    </row>
    <row r="34" customFormat="false" ht="15" hidden="false" customHeight="true" outlineLevel="0" collapsed="false">
      <c r="A34" s="5" t="s">
        <v>640</v>
      </c>
      <c r="B34" s="5" t="s">
        <v>122</v>
      </c>
      <c r="C34" s="5" t="s">
        <v>99</v>
      </c>
      <c r="D34" s="5" t="s">
        <v>641</v>
      </c>
      <c r="E34" s="5" t="s">
        <v>642</v>
      </c>
      <c r="F34" s="5" t="s">
        <v>296</v>
      </c>
      <c r="G34" s="5" t="s">
        <v>643</v>
      </c>
      <c r="H34" s="5" t="s">
        <v>644</v>
      </c>
      <c r="I34" s="5" t="s">
        <v>89</v>
      </c>
      <c r="J34" s="5" t="s">
        <v>195</v>
      </c>
      <c r="K34" s="5"/>
      <c r="L34" s="5" t="s">
        <v>95</v>
      </c>
      <c r="M34" s="5"/>
      <c r="N34" s="5"/>
      <c r="O34" s="5"/>
      <c r="P34" s="5"/>
    </row>
    <row r="35" customFormat="false" ht="27.75" hidden="false" customHeight="true" outlineLevel="0" collapsed="false">
      <c r="A35" s="5" t="s">
        <v>645</v>
      </c>
      <c r="B35" s="5" t="s">
        <v>122</v>
      </c>
      <c r="C35" s="5" t="s">
        <v>99</v>
      </c>
      <c r="D35" s="5" t="s">
        <v>646</v>
      </c>
      <c r="E35" s="5" t="s">
        <v>647</v>
      </c>
      <c r="F35" s="5" t="s">
        <v>296</v>
      </c>
      <c r="G35" s="5" t="s">
        <v>648</v>
      </c>
      <c r="H35" s="5" t="s">
        <v>649</v>
      </c>
      <c r="I35" s="5" t="s">
        <v>89</v>
      </c>
      <c r="J35" s="5" t="s">
        <v>195</v>
      </c>
      <c r="K35" s="5"/>
      <c r="L35" s="5" t="s">
        <v>95</v>
      </c>
      <c r="M35" s="5"/>
      <c r="N35" s="5"/>
      <c r="O35" s="5"/>
      <c r="P35" s="5"/>
    </row>
    <row r="36" customFormat="false" ht="27.75" hidden="false" customHeight="true" outlineLevel="0" collapsed="false">
      <c r="A36" s="5" t="s">
        <v>650</v>
      </c>
      <c r="B36" s="5" t="s">
        <v>122</v>
      </c>
      <c r="C36" s="5" t="s">
        <v>99</v>
      </c>
      <c r="D36" s="5" t="s">
        <v>651</v>
      </c>
      <c r="E36" s="5" t="s">
        <v>296</v>
      </c>
      <c r="F36" s="5" t="s">
        <v>296</v>
      </c>
      <c r="G36" s="5" t="s">
        <v>652</v>
      </c>
      <c r="H36" s="5" t="s">
        <v>653</v>
      </c>
      <c r="I36" s="5" t="s">
        <v>89</v>
      </c>
      <c r="J36" s="5" t="s">
        <v>195</v>
      </c>
      <c r="K36" s="5"/>
      <c r="L36" s="5" t="s">
        <v>95</v>
      </c>
      <c r="M36" s="5"/>
      <c r="N36" s="5"/>
      <c r="O36" s="5"/>
      <c r="P36" s="5"/>
    </row>
    <row r="37" customFormat="false" ht="15" hidden="false" customHeight="true" outlineLevel="0" collapsed="false">
      <c r="A37" s="5" t="s">
        <v>654</v>
      </c>
      <c r="B37" s="5" t="s">
        <v>122</v>
      </c>
      <c r="C37" s="5" t="s">
        <v>99</v>
      </c>
      <c r="D37" s="5" t="s">
        <v>655</v>
      </c>
      <c r="E37" s="5" t="s">
        <v>296</v>
      </c>
      <c r="F37" s="5" t="s">
        <v>656</v>
      </c>
      <c r="G37" s="5" t="s">
        <v>657</v>
      </c>
      <c r="H37" s="5" t="s">
        <v>658</v>
      </c>
      <c r="I37" s="5" t="s">
        <v>89</v>
      </c>
      <c r="J37" s="5" t="s">
        <v>195</v>
      </c>
      <c r="K37" s="5"/>
      <c r="L37" s="5" t="s">
        <v>95</v>
      </c>
      <c r="M37" s="5"/>
      <c r="N37" s="5"/>
      <c r="O37" s="5"/>
      <c r="P37" s="5"/>
    </row>
    <row r="38" customFormat="false" ht="27.75" hidden="false" customHeight="true" outlineLevel="0" collapsed="false">
      <c r="A38" s="5" t="s">
        <v>659</v>
      </c>
      <c r="B38" s="5" t="s">
        <v>122</v>
      </c>
      <c r="C38" s="5" t="s">
        <v>99</v>
      </c>
      <c r="D38" s="5" t="s">
        <v>660</v>
      </c>
      <c r="E38" s="5" t="s">
        <v>661</v>
      </c>
      <c r="F38" s="5" t="s">
        <v>296</v>
      </c>
      <c r="G38" s="5" t="s">
        <v>662</v>
      </c>
      <c r="H38" s="5" t="s">
        <v>663</v>
      </c>
      <c r="I38" s="5" t="s">
        <v>88</v>
      </c>
      <c r="J38" s="5" t="s">
        <v>185</v>
      </c>
      <c r="K38" s="5" t="s">
        <v>664</v>
      </c>
      <c r="L38" s="5" t="s">
        <v>32</v>
      </c>
      <c r="M38" s="5" t="s">
        <v>197</v>
      </c>
      <c r="N38" s="5" t="s">
        <v>28</v>
      </c>
      <c r="O38" s="5"/>
      <c r="P38" s="5"/>
    </row>
    <row r="39" customFormat="false" ht="27.75" hidden="false" customHeight="true" outlineLevel="0" collapsed="false">
      <c r="A39" s="5" t="s">
        <v>665</v>
      </c>
      <c r="B39" s="5" t="s">
        <v>122</v>
      </c>
      <c r="C39" s="5" t="s">
        <v>99</v>
      </c>
      <c r="D39" s="5" t="s">
        <v>666</v>
      </c>
      <c r="E39" s="5" t="s">
        <v>296</v>
      </c>
      <c r="F39" s="5" t="s">
        <v>667</v>
      </c>
      <c r="G39" s="5" t="s">
        <v>668</v>
      </c>
      <c r="H39" s="5" t="s">
        <v>669</v>
      </c>
      <c r="I39" s="5" t="s">
        <v>89</v>
      </c>
      <c r="J39" s="5" t="s">
        <v>271</v>
      </c>
      <c r="K39" s="5"/>
      <c r="L39" s="5" t="s">
        <v>95</v>
      </c>
      <c r="M39" s="5"/>
      <c r="N39" s="5"/>
      <c r="O39" s="5"/>
      <c r="P39" s="5"/>
    </row>
    <row r="40" customFormat="false" ht="27.75" hidden="false" customHeight="true" outlineLevel="0" collapsed="false">
      <c r="A40" s="5" t="s">
        <v>670</v>
      </c>
      <c r="B40" s="5" t="s">
        <v>123</v>
      </c>
      <c r="C40" s="5" t="s">
        <v>99</v>
      </c>
      <c r="D40" s="5" t="s">
        <v>671</v>
      </c>
      <c r="E40" s="5" t="s">
        <v>672</v>
      </c>
      <c r="F40" s="5" t="s">
        <v>296</v>
      </c>
      <c r="G40" s="5" t="s">
        <v>673</v>
      </c>
      <c r="H40" s="5" t="s">
        <v>674</v>
      </c>
      <c r="I40" s="5" t="s">
        <v>88</v>
      </c>
      <c r="J40" s="5" t="s">
        <v>195</v>
      </c>
      <c r="K40" s="5" t="s">
        <v>675</v>
      </c>
      <c r="L40" s="5" t="s">
        <v>32</v>
      </c>
      <c r="M40" s="5" t="s">
        <v>197</v>
      </c>
      <c r="N40" s="5" t="s">
        <v>28</v>
      </c>
      <c r="O40" s="5"/>
      <c r="P40" s="5"/>
    </row>
    <row r="41" customFormat="false" ht="27.75" hidden="false" customHeight="true" outlineLevel="0" collapsed="false">
      <c r="A41" s="5" t="s">
        <v>676</v>
      </c>
      <c r="B41" s="5" t="s">
        <v>123</v>
      </c>
      <c r="C41" s="5" t="s">
        <v>99</v>
      </c>
      <c r="D41" s="5" t="s">
        <v>677</v>
      </c>
      <c r="E41" s="5" t="s">
        <v>678</v>
      </c>
      <c r="F41" s="5" t="s">
        <v>296</v>
      </c>
      <c r="G41" s="5" t="s">
        <v>679</v>
      </c>
      <c r="H41" s="5" t="s">
        <v>680</v>
      </c>
      <c r="I41" s="5" t="s">
        <v>89</v>
      </c>
      <c r="J41" s="5" t="s">
        <v>195</v>
      </c>
      <c r="K41" s="5"/>
      <c r="L41" s="5" t="s">
        <v>95</v>
      </c>
      <c r="M41" s="5"/>
      <c r="N41" s="5"/>
      <c r="O41" s="5"/>
      <c r="P41" s="5"/>
    </row>
    <row r="42" customFormat="false" ht="27.75" hidden="false" customHeight="true" outlineLevel="0" collapsed="false">
      <c r="A42" s="5" t="s">
        <v>681</v>
      </c>
      <c r="B42" s="5" t="s">
        <v>123</v>
      </c>
      <c r="C42" s="5" t="s">
        <v>99</v>
      </c>
      <c r="D42" s="5" t="s">
        <v>682</v>
      </c>
      <c r="E42" s="5" t="s">
        <v>683</v>
      </c>
      <c r="F42" s="5" t="s">
        <v>296</v>
      </c>
      <c r="G42" s="5" t="s">
        <v>684</v>
      </c>
      <c r="H42" s="5" t="s">
        <v>685</v>
      </c>
      <c r="I42" s="5" t="s">
        <v>88</v>
      </c>
      <c r="J42" s="5" t="s">
        <v>195</v>
      </c>
      <c r="K42" s="5" t="s">
        <v>686</v>
      </c>
      <c r="L42" s="5" t="s">
        <v>32</v>
      </c>
      <c r="M42" s="5" t="s">
        <v>197</v>
      </c>
      <c r="N42" s="5" t="s">
        <v>28</v>
      </c>
      <c r="O42" s="5"/>
      <c r="P42" s="5"/>
    </row>
    <row r="43" customFormat="false" ht="41.25" hidden="false" customHeight="true" outlineLevel="0" collapsed="false">
      <c r="A43" s="5" t="s">
        <v>687</v>
      </c>
      <c r="B43" s="5" t="s">
        <v>123</v>
      </c>
      <c r="C43" s="5" t="s">
        <v>99</v>
      </c>
      <c r="D43" s="5" t="s">
        <v>688</v>
      </c>
      <c r="E43" s="5" t="s">
        <v>689</v>
      </c>
      <c r="F43" s="5" t="s">
        <v>296</v>
      </c>
      <c r="G43" s="5" t="s">
        <v>690</v>
      </c>
      <c r="H43" s="5" t="s">
        <v>691</v>
      </c>
      <c r="I43" s="5" t="s">
        <v>89</v>
      </c>
      <c r="J43" s="5" t="s">
        <v>195</v>
      </c>
      <c r="K43" s="5"/>
      <c r="L43" s="5" t="s">
        <v>95</v>
      </c>
      <c r="M43" s="5"/>
      <c r="N43" s="5"/>
      <c r="O43" s="5"/>
      <c r="P43" s="5"/>
    </row>
    <row r="44" customFormat="false" ht="15" hidden="false" customHeight="true" outlineLevel="0" collapsed="false">
      <c r="A44" s="5" t="s">
        <v>692</v>
      </c>
      <c r="B44" s="5" t="s">
        <v>123</v>
      </c>
      <c r="C44" s="5" t="s">
        <v>99</v>
      </c>
      <c r="D44" s="5" t="s">
        <v>693</v>
      </c>
      <c r="E44" s="5" t="s">
        <v>694</v>
      </c>
      <c r="F44" s="5" t="s">
        <v>296</v>
      </c>
      <c r="G44" s="5" t="s">
        <v>695</v>
      </c>
      <c r="H44" s="5" t="s">
        <v>696</v>
      </c>
      <c r="I44" s="5" t="s">
        <v>90</v>
      </c>
      <c r="J44" s="5" t="s">
        <v>195</v>
      </c>
      <c r="K44" s="5"/>
      <c r="L44" s="5" t="s">
        <v>95</v>
      </c>
      <c r="M44" s="5"/>
      <c r="N44" s="5"/>
      <c r="O44" s="5"/>
      <c r="P44" s="5"/>
    </row>
    <row r="45" customFormat="false" ht="54.75" hidden="false" customHeight="true" outlineLevel="0" collapsed="false">
      <c r="A45" s="5" t="s">
        <v>697</v>
      </c>
      <c r="B45" s="5" t="s">
        <v>124</v>
      </c>
      <c r="C45" s="5" t="s">
        <v>99</v>
      </c>
      <c r="D45" s="5" t="s">
        <v>698</v>
      </c>
      <c r="E45" s="5" t="s">
        <v>699</v>
      </c>
      <c r="F45" s="5" t="s">
        <v>700</v>
      </c>
      <c r="G45" s="5" t="s">
        <v>701</v>
      </c>
      <c r="H45" s="5" t="s">
        <v>702</v>
      </c>
      <c r="I45" s="5" t="s">
        <v>88</v>
      </c>
      <c r="J45" s="5" t="s">
        <v>195</v>
      </c>
      <c r="K45" s="5" t="s">
        <v>703</v>
      </c>
      <c r="L45" s="5" t="s">
        <v>32</v>
      </c>
      <c r="M45" s="5" t="s">
        <v>197</v>
      </c>
      <c r="N45" s="5" t="s">
        <v>28</v>
      </c>
      <c r="O45" s="5"/>
      <c r="P45" s="5"/>
    </row>
    <row r="46" customFormat="false" ht="27.75" hidden="false" customHeight="true" outlineLevel="0" collapsed="false">
      <c r="A46" s="5" t="s">
        <v>704</v>
      </c>
      <c r="B46" s="5" t="s">
        <v>124</v>
      </c>
      <c r="C46" s="5" t="s">
        <v>99</v>
      </c>
      <c r="D46" s="5" t="s">
        <v>705</v>
      </c>
      <c r="E46" s="5" t="s">
        <v>706</v>
      </c>
      <c r="F46" s="5" t="s">
        <v>296</v>
      </c>
      <c r="G46" s="5" t="s">
        <v>707</v>
      </c>
      <c r="H46" s="5" t="s">
        <v>708</v>
      </c>
      <c r="I46" s="5" t="s">
        <v>88</v>
      </c>
      <c r="J46" s="5" t="s">
        <v>195</v>
      </c>
      <c r="K46" s="5" t="s">
        <v>709</v>
      </c>
      <c r="L46" s="5" t="s">
        <v>32</v>
      </c>
      <c r="M46" s="5" t="s">
        <v>197</v>
      </c>
      <c r="N46" s="5" t="s">
        <v>28</v>
      </c>
      <c r="O46" s="5"/>
      <c r="P46" s="5"/>
    </row>
    <row r="47" customFormat="false" ht="15" hidden="false" customHeight="true" outlineLevel="0" collapsed="false">
      <c r="A47" s="5" t="s">
        <v>710</v>
      </c>
      <c r="B47" s="5" t="s">
        <v>124</v>
      </c>
      <c r="C47" s="5" t="s">
        <v>99</v>
      </c>
      <c r="D47" s="5" t="s">
        <v>711</v>
      </c>
      <c r="E47" s="5" t="s">
        <v>712</v>
      </c>
      <c r="F47" s="5" t="s">
        <v>713</v>
      </c>
      <c r="G47" s="5" t="s">
        <v>714</v>
      </c>
      <c r="H47" s="5" t="s">
        <v>715</v>
      </c>
      <c r="I47" s="5" t="s">
        <v>88</v>
      </c>
      <c r="J47" s="5" t="s">
        <v>242</v>
      </c>
      <c r="K47" s="5" t="s">
        <v>716</v>
      </c>
      <c r="L47" s="5" t="s">
        <v>32</v>
      </c>
      <c r="M47" s="5" t="s">
        <v>197</v>
      </c>
      <c r="N47" s="5" t="s">
        <v>28</v>
      </c>
      <c r="O47" s="5"/>
      <c r="P47" s="5"/>
    </row>
    <row r="48" customFormat="false" ht="27.75" hidden="false" customHeight="true" outlineLevel="0" collapsed="false">
      <c r="A48" s="5" t="s">
        <v>717</v>
      </c>
      <c r="B48" s="5" t="s">
        <v>124</v>
      </c>
      <c r="C48" s="5" t="s">
        <v>99</v>
      </c>
      <c r="D48" s="5" t="s">
        <v>718</v>
      </c>
      <c r="E48" s="5" t="s">
        <v>719</v>
      </c>
      <c r="F48" s="5" t="s">
        <v>720</v>
      </c>
      <c r="G48" s="5" t="s">
        <v>721</v>
      </c>
      <c r="H48" s="5" t="s">
        <v>722</v>
      </c>
      <c r="I48" s="5" t="s">
        <v>88</v>
      </c>
      <c r="J48" s="5" t="s">
        <v>242</v>
      </c>
      <c r="K48" s="5" t="s">
        <v>723</v>
      </c>
      <c r="L48" s="5" t="s">
        <v>32</v>
      </c>
      <c r="M48" s="5" t="s">
        <v>197</v>
      </c>
      <c r="N48" s="5" t="s">
        <v>28</v>
      </c>
      <c r="O48" s="5"/>
      <c r="P48" s="5"/>
    </row>
    <row r="49" customFormat="false" ht="15" hidden="false" customHeight="true" outlineLevel="0" collapsed="false">
      <c r="A49" s="5" t="s">
        <v>724</v>
      </c>
      <c r="B49" s="5" t="s">
        <v>124</v>
      </c>
      <c r="C49" s="5" t="s">
        <v>99</v>
      </c>
      <c r="D49" s="5" t="s">
        <v>725</v>
      </c>
      <c r="E49" s="5" t="s">
        <v>726</v>
      </c>
      <c r="F49" s="5" t="s">
        <v>296</v>
      </c>
      <c r="G49" s="5" t="s">
        <v>727</v>
      </c>
      <c r="H49" s="5" t="s">
        <v>728</v>
      </c>
      <c r="I49" s="5" t="s">
        <v>88</v>
      </c>
      <c r="J49" s="5" t="s">
        <v>218</v>
      </c>
      <c r="K49" s="5" t="s">
        <v>729</v>
      </c>
      <c r="L49" s="5" t="s">
        <v>32</v>
      </c>
      <c r="M49" s="5" t="s">
        <v>197</v>
      </c>
      <c r="N49" s="5" t="s">
        <v>28</v>
      </c>
      <c r="O49" s="5"/>
      <c r="P49" s="5"/>
    </row>
    <row r="50" customFormat="false" ht="15" hidden="false" customHeight="true" outlineLevel="0" collapsed="false">
      <c r="A50" s="5" t="s">
        <v>730</v>
      </c>
      <c r="B50" s="5" t="s">
        <v>124</v>
      </c>
      <c r="C50" s="5" t="s">
        <v>99</v>
      </c>
      <c r="D50" s="5" t="s">
        <v>731</v>
      </c>
      <c r="E50" s="5" t="s">
        <v>732</v>
      </c>
      <c r="F50" s="5" t="s">
        <v>296</v>
      </c>
      <c r="G50" s="5" t="s">
        <v>733</v>
      </c>
      <c r="H50" s="5" t="s">
        <v>734</v>
      </c>
      <c r="I50" s="5" t="s">
        <v>88</v>
      </c>
      <c r="J50" s="5" t="s">
        <v>735</v>
      </c>
      <c r="K50" s="5" t="s">
        <v>736</v>
      </c>
      <c r="L50" s="5" t="s">
        <v>32</v>
      </c>
      <c r="M50" s="5" t="s">
        <v>197</v>
      </c>
      <c r="N50" s="5" t="s">
        <v>28</v>
      </c>
      <c r="O50" s="5"/>
      <c r="P50" s="5"/>
    </row>
    <row r="51" customFormat="false" ht="15" hidden="false" customHeight="true" outlineLevel="0" collapsed="false">
      <c r="A51" s="5" t="s">
        <v>737</v>
      </c>
      <c r="B51" s="5" t="s">
        <v>124</v>
      </c>
      <c r="C51" s="5" t="s">
        <v>99</v>
      </c>
      <c r="D51" s="5" t="s">
        <v>738</v>
      </c>
      <c r="E51" s="5" t="s">
        <v>739</v>
      </c>
      <c r="F51" s="5" t="s">
        <v>296</v>
      </c>
      <c r="G51" s="5" t="s">
        <v>740</v>
      </c>
      <c r="H51" s="5" t="s">
        <v>741</v>
      </c>
      <c r="I51" s="5" t="s">
        <v>88</v>
      </c>
      <c r="J51" s="5" t="s">
        <v>218</v>
      </c>
      <c r="K51" s="5" t="s">
        <v>742</v>
      </c>
      <c r="L51" s="5" t="s">
        <v>32</v>
      </c>
      <c r="M51" s="5" t="s">
        <v>197</v>
      </c>
      <c r="N51" s="5" t="s">
        <v>28</v>
      </c>
      <c r="O51" s="5"/>
      <c r="P51" s="5"/>
    </row>
    <row r="52" customFormat="false" ht="27.75" hidden="false" customHeight="true" outlineLevel="0" collapsed="false">
      <c r="A52" s="5" t="s">
        <v>743</v>
      </c>
      <c r="B52" s="5" t="s">
        <v>124</v>
      </c>
      <c r="C52" s="5" t="s">
        <v>99</v>
      </c>
      <c r="D52" s="5" t="s">
        <v>744</v>
      </c>
      <c r="E52" s="5" t="s">
        <v>206</v>
      </c>
      <c r="F52" s="5" t="s">
        <v>296</v>
      </c>
      <c r="G52" s="5" t="s">
        <v>745</v>
      </c>
      <c r="H52" s="5" t="s">
        <v>746</v>
      </c>
      <c r="I52" s="5" t="s">
        <v>88</v>
      </c>
      <c r="J52" s="5" t="s">
        <v>210</v>
      </c>
      <c r="K52" s="5" t="s">
        <v>747</v>
      </c>
      <c r="L52" s="5" t="s">
        <v>32</v>
      </c>
      <c r="M52" s="5" t="s">
        <v>197</v>
      </c>
      <c r="N52" s="5" t="s">
        <v>28</v>
      </c>
      <c r="O52" s="5"/>
      <c r="P52" s="5"/>
    </row>
    <row r="53" customFormat="false" ht="41.25" hidden="false" customHeight="true" outlineLevel="0" collapsed="false">
      <c r="A53" s="5" t="s">
        <v>748</v>
      </c>
      <c r="B53" s="5" t="s">
        <v>124</v>
      </c>
      <c r="C53" s="5" t="s">
        <v>99</v>
      </c>
      <c r="D53" s="5" t="s">
        <v>749</v>
      </c>
      <c r="E53" s="5" t="s">
        <v>750</v>
      </c>
      <c r="F53" s="5" t="s">
        <v>296</v>
      </c>
      <c r="G53" s="5" t="s">
        <v>751</v>
      </c>
      <c r="H53" s="5" t="s">
        <v>752</v>
      </c>
      <c r="I53" s="5" t="s">
        <v>88</v>
      </c>
      <c r="J53" s="5" t="s">
        <v>210</v>
      </c>
      <c r="K53" s="5" t="s">
        <v>753</v>
      </c>
      <c r="L53" s="5" t="s">
        <v>32</v>
      </c>
      <c r="M53" s="5" t="s">
        <v>197</v>
      </c>
      <c r="N53" s="5" t="s">
        <v>28</v>
      </c>
      <c r="O53" s="5"/>
      <c r="P53" s="5"/>
    </row>
    <row r="54" customFormat="false" ht="15" hidden="false" customHeight="true" outlineLevel="0" collapsed="false">
      <c r="A54" s="5" t="s">
        <v>754</v>
      </c>
      <c r="B54" s="5" t="s">
        <v>124</v>
      </c>
      <c r="C54" s="5" t="s">
        <v>99</v>
      </c>
      <c r="D54" s="5" t="s">
        <v>755</v>
      </c>
      <c r="E54" s="5" t="s">
        <v>756</v>
      </c>
      <c r="F54" s="5" t="s">
        <v>757</v>
      </c>
      <c r="G54" s="5" t="s">
        <v>758</v>
      </c>
      <c r="H54" s="5" t="s">
        <v>759</v>
      </c>
      <c r="I54" s="5" t="s">
        <v>88</v>
      </c>
      <c r="J54" s="5" t="s">
        <v>271</v>
      </c>
      <c r="K54" s="5" t="s">
        <v>760</v>
      </c>
      <c r="L54" s="5" t="s">
        <v>32</v>
      </c>
      <c r="M54" s="5" t="s">
        <v>197</v>
      </c>
      <c r="N54" s="5" t="s">
        <v>28</v>
      </c>
      <c r="O54" s="5"/>
      <c r="P54" s="5"/>
    </row>
    <row r="55" customFormat="false" ht="41.25" hidden="false" customHeight="true" outlineLevel="0" collapsed="false">
      <c r="A55" s="5" t="s">
        <v>761</v>
      </c>
      <c r="B55" s="5" t="s">
        <v>124</v>
      </c>
      <c r="C55" s="5" t="s">
        <v>99</v>
      </c>
      <c r="D55" s="5" t="s">
        <v>762</v>
      </c>
      <c r="E55" s="5" t="s">
        <v>763</v>
      </c>
      <c r="F55" s="5" t="s">
        <v>296</v>
      </c>
      <c r="G55" s="5" t="s">
        <v>764</v>
      </c>
      <c r="H55" s="5" t="s">
        <v>765</v>
      </c>
      <c r="I55" s="5" t="s">
        <v>88</v>
      </c>
      <c r="J55" s="5" t="s">
        <v>185</v>
      </c>
      <c r="K55" s="5" t="s">
        <v>766</v>
      </c>
      <c r="L55" s="5" t="s">
        <v>32</v>
      </c>
      <c r="M55" s="5" t="s">
        <v>197</v>
      </c>
      <c r="N55" s="5" t="s">
        <v>28</v>
      </c>
      <c r="O55" s="5"/>
      <c r="P55" s="5"/>
    </row>
    <row r="56" customFormat="false" ht="27.75" hidden="false" customHeight="true" outlineLevel="0" collapsed="false">
      <c r="A56" s="5" t="s">
        <v>767</v>
      </c>
      <c r="B56" s="5" t="s">
        <v>124</v>
      </c>
      <c r="C56" s="5" t="s">
        <v>99</v>
      </c>
      <c r="D56" s="5" t="s">
        <v>768</v>
      </c>
      <c r="E56" s="5" t="s">
        <v>769</v>
      </c>
      <c r="F56" s="5" t="s">
        <v>296</v>
      </c>
      <c r="G56" s="5" t="s">
        <v>770</v>
      </c>
      <c r="H56" s="5" t="s">
        <v>771</v>
      </c>
      <c r="I56" s="5" t="s">
        <v>89</v>
      </c>
      <c r="J56" s="5" t="s">
        <v>195</v>
      </c>
      <c r="K56" s="5"/>
      <c r="L56" s="5" t="s">
        <v>95</v>
      </c>
      <c r="M56" s="5"/>
      <c r="N56" s="5"/>
      <c r="O56" s="5"/>
      <c r="P56" s="5"/>
    </row>
    <row r="57" customFormat="false" ht="27.75" hidden="false" customHeight="true" outlineLevel="0" collapsed="false">
      <c r="A57" s="5" t="s">
        <v>772</v>
      </c>
      <c r="B57" s="5" t="s">
        <v>124</v>
      </c>
      <c r="C57" s="5" t="s">
        <v>99</v>
      </c>
      <c r="D57" s="5" t="s">
        <v>773</v>
      </c>
      <c r="E57" s="5" t="s">
        <v>774</v>
      </c>
      <c r="F57" s="5" t="s">
        <v>775</v>
      </c>
      <c r="G57" s="5" t="s">
        <v>776</v>
      </c>
      <c r="H57" s="5" t="s">
        <v>777</v>
      </c>
      <c r="I57" s="5" t="s">
        <v>89</v>
      </c>
      <c r="J57" s="5" t="s">
        <v>271</v>
      </c>
      <c r="K57" s="5"/>
      <c r="L57" s="5" t="s">
        <v>95</v>
      </c>
      <c r="M57" s="5"/>
      <c r="N57" s="5"/>
      <c r="O57" s="5"/>
      <c r="P57" s="5"/>
    </row>
    <row r="58" customFormat="false" ht="27.75" hidden="false" customHeight="true" outlineLevel="0" collapsed="false">
      <c r="A58" s="5" t="s">
        <v>778</v>
      </c>
      <c r="B58" s="5" t="s">
        <v>124</v>
      </c>
      <c r="C58" s="5" t="s">
        <v>99</v>
      </c>
      <c r="D58" s="5" t="s">
        <v>779</v>
      </c>
      <c r="E58" s="5" t="s">
        <v>400</v>
      </c>
      <c r="F58" s="5" t="s">
        <v>296</v>
      </c>
      <c r="G58" s="5" t="s">
        <v>780</v>
      </c>
      <c r="H58" s="5" t="s">
        <v>781</v>
      </c>
      <c r="I58" s="5" t="s">
        <v>90</v>
      </c>
      <c r="J58" s="5" t="s">
        <v>271</v>
      </c>
      <c r="K58" s="5"/>
      <c r="L58" s="5" t="s">
        <v>95</v>
      </c>
      <c r="M58" s="5"/>
      <c r="N58" s="5"/>
      <c r="O58" s="5"/>
      <c r="P58" s="5"/>
    </row>
    <row r="59" customFormat="false" ht="15" hidden="false" customHeight="true" outlineLevel="0" collapsed="false">
      <c r="A59" s="5" t="s">
        <v>782</v>
      </c>
      <c r="B59" s="5" t="s">
        <v>125</v>
      </c>
      <c r="C59" s="5" t="s">
        <v>99</v>
      </c>
      <c r="D59" s="5" t="s">
        <v>783</v>
      </c>
      <c r="E59" s="5" t="s">
        <v>784</v>
      </c>
      <c r="F59" s="5" t="s">
        <v>296</v>
      </c>
      <c r="G59" s="5" t="s">
        <v>785</v>
      </c>
      <c r="H59" s="5" t="s">
        <v>786</v>
      </c>
      <c r="I59" s="5" t="s">
        <v>88</v>
      </c>
      <c r="J59" s="5" t="s">
        <v>195</v>
      </c>
      <c r="K59" s="5" t="s">
        <v>787</v>
      </c>
      <c r="L59" s="5" t="s">
        <v>32</v>
      </c>
      <c r="M59" s="5" t="s">
        <v>197</v>
      </c>
      <c r="N59" s="5" t="s">
        <v>28</v>
      </c>
      <c r="O59" s="5"/>
      <c r="P59" s="5"/>
    </row>
    <row r="60" customFormat="false" ht="15" hidden="false" customHeight="true" outlineLevel="0" collapsed="false">
      <c r="A60" s="5" t="s">
        <v>788</v>
      </c>
      <c r="B60" s="5" t="s">
        <v>125</v>
      </c>
      <c r="C60" s="5" t="s">
        <v>99</v>
      </c>
      <c r="D60" s="5" t="s">
        <v>789</v>
      </c>
      <c r="E60" s="5" t="s">
        <v>790</v>
      </c>
      <c r="F60" s="5" t="s">
        <v>296</v>
      </c>
      <c r="G60" s="5" t="s">
        <v>791</v>
      </c>
      <c r="H60" s="5" t="s">
        <v>792</v>
      </c>
      <c r="I60" s="5" t="s">
        <v>88</v>
      </c>
      <c r="J60" s="5" t="s">
        <v>195</v>
      </c>
      <c r="K60" s="5" t="s">
        <v>793</v>
      </c>
      <c r="L60" s="5" t="s">
        <v>32</v>
      </c>
      <c r="M60" s="5" t="s">
        <v>197</v>
      </c>
      <c r="N60" s="5" t="s">
        <v>28</v>
      </c>
      <c r="O60" s="5"/>
      <c r="P60" s="5"/>
    </row>
    <row r="61" customFormat="false" ht="15" hidden="false" customHeight="true" outlineLevel="0" collapsed="false">
      <c r="A61" s="5" t="s">
        <v>794</v>
      </c>
      <c r="B61" s="5" t="s">
        <v>125</v>
      </c>
      <c r="C61" s="5" t="s">
        <v>99</v>
      </c>
      <c r="D61" s="5" t="s">
        <v>795</v>
      </c>
      <c r="E61" s="5" t="s">
        <v>796</v>
      </c>
      <c r="F61" s="5" t="s">
        <v>296</v>
      </c>
      <c r="G61" s="5" t="s">
        <v>797</v>
      </c>
      <c r="H61" s="5" t="s">
        <v>798</v>
      </c>
      <c r="I61" s="5" t="s">
        <v>89</v>
      </c>
      <c r="J61" s="5" t="s">
        <v>185</v>
      </c>
      <c r="K61" s="5"/>
      <c r="L61" s="5" t="s">
        <v>95</v>
      </c>
      <c r="M61" s="5"/>
      <c r="N61" s="5"/>
      <c r="O61" s="5"/>
      <c r="P61" s="5"/>
    </row>
    <row r="62" customFormat="false" ht="27.75" hidden="false" customHeight="true" outlineLevel="0" collapsed="false">
      <c r="A62" s="5" t="s">
        <v>799</v>
      </c>
      <c r="B62" s="5" t="s">
        <v>125</v>
      </c>
      <c r="C62" s="5" t="s">
        <v>99</v>
      </c>
      <c r="D62" s="5" t="s">
        <v>800</v>
      </c>
      <c r="E62" s="5" t="s">
        <v>801</v>
      </c>
      <c r="F62" s="5" t="s">
        <v>296</v>
      </c>
      <c r="G62" s="5" t="s">
        <v>802</v>
      </c>
      <c r="H62" s="5" t="s">
        <v>803</v>
      </c>
      <c r="I62" s="5" t="s">
        <v>88</v>
      </c>
      <c r="J62" s="5" t="s">
        <v>185</v>
      </c>
      <c r="K62" s="5" t="s">
        <v>804</v>
      </c>
      <c r="L62" s="5" t="s">
        <v>32</v>
      </c>
      <c r="M62" s="5" t="s">
        <v>197</v>
      </c>
      <c r="N62" s="5" t="s">
        <v>28</v>
      </c>
      <c r="O62" s="5"/>
      <c r="P62" s="5"/>
    </row>
    <row r="63" customFormat="false" ht="15" hidden="false" customHeight="true" outlineLevel="0" collapsed="false">
      <c r="A63" s="5" t="s">
        <v>805</v>
      </c>
      <c r="B63" s="5" t="s">
        <v>125</v>
      </c>
      <c r="C63" s="5" t="s">
        <v>99</v>
      </c>
      <c r="D63" s="5" t="s">
        <v>806</v>
      </c>
      <c r="E63" s="5" t="s">
        <v>807</v>
      </c>
      <c r="F63" s="5" t="s">
        <v>296</v>
      </c>
      <c r="G63" s="5" t="s">
        <v>808</v>
      </c>
      <c r="H63" s="5" t="s">
        <v>809</v>
      </c>
      <c r="I63" s="5" t="s">
        <v>88</v>
      </c>
      <c r="J63" s="5" t="s">
        <v>185</v>
      </c>
      <c r="K63" s="5" t="s">
        <v>810</v>
      </c>
      <c r="L63" s="5" t="s">
        <v>32</v>
      </c>
      <c r="M63" s="5" t="s">
        <v>197</v>
      </c>
      <c r="N63" s="5" t="s">
        <v>28</v>
      </c>
      <c r="O63" s="5"/>
      <c r="P63" s="5"/>
    </row>
    <row r="64" customFormat="false" ht="15" hidden="false" customHeight="true" outlineLevel="0" collapsed="false">
      <c r="A64" s="5" t="s">
        <v>811</v>
      </c>
      <c r="B64" s="5" t="s">
        <v>125</v>
      </c>
      <c r="C64" s="5" t="s">
        <v>99</v>
      </c>
      <c r="D64" s="5" t="s">
        <v>812</v>
      </c>
      <c r="E64" s="5" t="s">
        <v>813</v>
      </c>
      <c r="F64" s="5" t="s">
        <v>296</v>
      </c>
      <c r="G64" s="5" t="s">
        <v>814</v>
      </c>
      <c r="H64" s="5" t="s">
        <v>815</v>
      </c>
      <c r="I64" s="5" t="s">
        <v>88</v>
      </c>
      <c r="J64" s="5" t="s">
        <v>271</v>
      </c>
      <c r="K64" s="5" t="s">
        <v>816</v>
      </c>
      <c r="L64" s="5" t="s">
        <v>32</v>
      </c>
      <c r="M64" s="5" t="s">
        <v>197</v>
      </c>
      <c r="N64" s="5" t="s">
        <v>28</v>
      </c>
      <c r="O64" s="5"/>
      <c r="P64" s="5"/>
    </row>
    <row r="65" customFormat="false" ht="41.25" hidden="false" customHeight="true" outlineLevel="0" collapsed="false">
      <c r="A65" s="5" t="s">
        <v>817</v>
      </c>
      <c r="B65" s="5" t="s">
        <v>126</v>
      </c>
      <c r="C65" s="5" t="s">
        <v>99</v>
      </c>
      <c r="D65" s="5" t="s">
        <v>818</v>
      </c>
      <c r="E65" s="5" t="s">
        <v>400</v>
      </c>
      <c r="F65" s="5" t="s">
        <v>296</v>
      </c>
      <c r="G65" s="5" t="s">
        <v>819</v>
      </c>
      <c r="H65" s="5" t="s">
        <v>820</v>
      </c>
      <c r="I65" s="5" t="s">
        <v>89</v>
      </c>
      <c r="J65" s="5" t="s">
        <v>195</v>
      </c>
      <c r="K65" s="5"/>
      <c r="L65" s="5" t="s">
        <v>95</v>
      </c>
      <c r="M65" s="5"/>
      <c r="N65" s="5"/>
      <c r="O65" s="5"/>
      <c r="P65" s="5"/>
    </row>
    <row r="66" customFormat="false" ht="15" hidden="false" customHeight="true" outlineLevel="0" collapsed="false">
      <c r="A66" s="5" t="s">
        <v>821</v>
      </c>
      <c r="B66" s="5" t="s">
        <v>126</v>
      </c>
      <c r="C66" s="5" t="s">
        <v>99</v>
      </c>
      <c r="D66" s="5" t="s">
        <v>822</v>
      </c>
      <c r="E66" s="5" t="s">
        <v>206</v>
      </c>
      <c r="F66" s="5" t="s">
        <v>296</v>
      </c>
      <c r="G66" s="5" t="s">
        <v>823</v>
      </c>
      <c r="H66" s="5" t="s">
        <v>824</v>
      </c>
      <c r="I66" s="5" t="s">
        <v>89</v>
      </c>
      <c r="J66" s="5" t="s">
        <v>210</v>
      </c>
      <c r="K66" s="5"/>
      <c r="L66" s="5" t="s">
        <v>95</v>
      </c>
      <c r="M66" s="5"/>
      <c r="N66" s="5"/>
      <c r="O66" s="5"/>
      <c r="P66" s="5"/>
    </row>
    <row r="67" customFormat="false" ht="41.25" hidden="false" customHeight="true" outlineLevel="0" collapsed="false">
      <c r="A67" s="5" t="s">
        <v>825</v>
      </c>
      <c r="B67" s="5" t="s">
        <v>126</v>
      </c>
      <c r="C67" s="5" t="s">
        <v>99</v>
      </c>
      <c r="D67" s="5" t="s">
        <v>826</v>
      </c>
      <c r="E67" s="5" t="s">
        <v>400</v>
      </c>
      <c r="F67" s="5" t="s">
        <v>827</v>
      </c>
      <c r="G67" s="5" t="s">
        <v>828</v>
      </c>
      <c r="H67" s="5" t="s">
        <v>829</v>
      </c>
      <c r="I67" s="5" t="s">
        <v>89</v>
      </c>
      <c r="J67" s="5" t="s">
        <v>195</v>
      </c>
      <c r="K67" s="5"/>
      <c r="L67" s="5" t="s">
        <v>95</v>
      </c>
      <c r="M67" s="5"/>
      <c r="N67" s="5"/>
      <c r="O67" s="5"/>
      <c r="P67" s="5"/>
    </row>
    <row r="68" customFormat="false" ht="27.75" hidden="false" customHeight="true" outlineLevel="0" collapsed="false">
      <c r="A68" s="5" t="s">
        <v>830</v>
      </c>
      <c r="B68" s="5" t="s">
        <v>126</v>
      </c>
      <c r="C68" s="5" t="s">
        <v>99</v>
      </c>
      <c r="D68" s="5" t="s">
        <v>831</v>
      </c>
      <c r="E68" s="5" t="s">
        <v>832</v>
      </c>
      <c r="F68" s="5" t="s">
        <v>296</v>
      </c>
      <c r="G68" s="5" t="s">
        <v>833</v>
      </c>
      <c r="H68" s="5" t="s">
        <v>834</v>
      </c>
      <c r="I68" s="5" t="s">
        <v>90</v>
      </c>
      <c r="J68" s="5" t="s">
        <v>195</v>
      </c>
      <c r="K68" s="5"/>
      <c r="L68" s="5" t="s">
        <v>95</v>
      </c>
      <c r="M68" s="5"/>
      <c r="N68" s="5"/>
      <c r="O68" s="5"/>
      <c r="P68" s="5"/>
    </row>
    <row r="69" customFormat="false" ht="41.25" hidden="false" customHeight="true" outlineLevel="0" collapsed="false">
      <c r="A69" s="5" t="s">
        <v>835</v>
      </c>
      <c r="B69" s="5" t="s">
        <v>127</v>
      </c>
      <c r="C69" s="5" t="s">
        <v>99</v>
      </c>
      <c r="D69" s="5" t="s">
        <v>836</v>
      </c>
      <c r="E69" s="5" t="s">
        <v>400</v>
      </c>
      <c r="F69" s="5" t="s">
        <v>837</v>
      </c>
      <c r="G69" s="5" t="s">
        <v>838</v>
      </c>
      <c r="H69" s="5" t="s">
        <v>839</v>
      </c>
      <c r="I69" s="5" t="s">
        <v>89</v>
      </c>
      <c r="J69" s="5" t="s">
        <v>195</v>
      </c>
      <c r="K69" s="5"/>
      <c r="L69" s="5" t="s">
        <v>95</v>
      </c>
      <c r="M69" s="5"/>
      <c r="N69" s="5"/>
      <c r="O69" s="5"/>
      <c r="P69" s="5"/>
    </row>
    <row r="70" customFormat="false" ht="27.75" hidden="false" customHeight="true" outlineLevel="0" collapsed="false">
      <c r="A70" s="5" t="s">
        <v>840</v>
      </c>
      <c r="B70" s="5" t="s">
        <v>127</v>
      </c>
      <c r="C70" s="5" t="s">
        <v>99</v>
      </c>
      <c r="D70" s="5" t="s">
        <v>841</v>
      </c>
      <c r="E70" s="5" t="s">
        <v>842</v>
      </c>
      <c r="F70" s="5" t="s">
        <v>296</v>
      </c>
      <c r="G70" s="5" t="s">
        <v>843</v>
      </c>
      <c r="H70" s="5" t="s">
        <v>844</v>
      </c>
      <c r="I70" s="5" t="s">
        <v>89</v>
      </c>
      <c r="J70" s="5" t="s">
        <v>195</v>
      </c>
      <c r="K70" s="5"/>
      <c r="L70" s="5" t="s">
        <v>95</v>
      </c>
      <c r="M70" s="5"/>
      <c r="N70" s="5"/>
      <c r="O70" s="5"/>
      <c r="P70" s="5"/>
    </row>
    <row r="71" customFormat="false" ht="27.75" hidden="false" customHeight="true" outlineLevel="0" collapsed="false">
      <c r="A71" s="5" t="s">
        <v>845</v>
      </c>
      <c r="B71" s="5" t="s">
        <v>127</v>
      </c>
      <c r="C71" s="5" t="s">
        <v>99</v>
      </c>
      <c r="D71" s="5" t="s">
        <v>846</v>
      </c>
      <c r="E71" s="5" t="s">
        <v>400</v>
      </c>
      <c r="F71" s="5" t="s">
        <v>847</v>
      </c>
      <c r="G71" s="5" t="s">
        <v>848</v>
      </c>
      <c r="H71" s="5" t="s">
        <v>849</v>
      </c>
      <c r="I71" s="5" t="s">
        <v>89</v>
      </c>
      <c r="J71" s="5" t="s">
        <v>218</v>
      </c>
      <c r="K71" s="5"/>
      <c r="L71" s="5" t="s">
        <v>95</v>
      </c>
      <c r="M71" s="5"/>
      <c r="N71" s="5"/>
      <c r="O71" s="5"/>
      <c r="P71" s="5"/>
    </row>
    <row r="72" customFormat="false" ht="15" hidden="false" customHeight="true" outlineLevel="0" collapsed="false">
      <c r="A72" s="5" t="s">
        <v>850</v>
      </c>
      <c r="B72" s="5" t="s">
        <v>127</v>
      </c>
      <c r="C72" s="5" t="s">
        <v>99</v>
      </c>
      <c r="D72" s="5" t="s">
        <v>851</v>
      </c>
      <c r="E72" s="5" t="s">
        <v>852</v>
      </c>
      <c r="F72" s="5" t="s">
        <v>296</v>
      </c>
      <c r="G72" s="5" t="s">
        <v>853</v>
      </c>
      <c r="H72" s="5" t="s">
        <v>854</v>
      </c>
      <c r="I72" s="5" t="s">
        <v>89</v>
      </c>
      <c r="J72" s="5" t="s">
        <v>242</v>
      </c>
      <c r="K72" s="5"/>
      <c r="L72" s="5" t="s">
        <v>95</v>
      </c>
      <c r="M72" s="5"/>
      <c r="N72" s="5"/>
      <c r="O72" s="5"/>
      <c r="P72" s="5"/>
    </row>
    <row r="73" customFormat="false" ht="41.25" hidden="false" customHeight="true" outlineLevel="0" collapsed="false">
      <c r="A73" s="5" t="s">
        <v>855</v>
      </c>
      <c r="B73" s="5" t="s">
        <v>127</v>
      </c>
      <c r="C73" s="5" t="s">
        <v>99</v>
      </c>
      <c r="D73" s="5" t="s">
        <v>856</v>
      </c>
      <c r="E73" s="5" t="s">
        <v>857</v>
      </c>
      <c r="F73" s="5" t="s">
        <v>296</v>
      </c>
      <c r="G73" s="5" t="s">
        <v>858</v>
      </c>
      <c r="H73" s="5" t="s">
        <v>859</v>
      </c>
      <c r="I73" s="5" t="s">
        <v>90</v>
      </c>
      <c r="J73" s="5" t="s">
        <v>195</v>
      </c>
      <c r="K73" s="5"/>
      <c r="L73" s="5" t="s">
        <v>95</v>
      </c>
      <c r="M73" s="5"/>
      <c r="N73" s="5"/>
      <c r="O73" s="5"/>
      <c r="P73" s="5"/>
    </row>
    <row r="74" customFormat="false" ht="15" hidden="false" customHeight="true" outlineLevel="0" collapsed="false">
      <c r="A74" s="5" t="s">
        <v>860</v>
      </c>
      <c r="B74" s="5" t="s">
        <v>127</v>
      </c>
      <c r="C74" s="5" t="s">
        <v>99</v>
      </c>
      <c r="D74" s="5" t="s">
        <v>861</v>
      </c>
      <c r="E74" s="5" t="s">
        <v>857</v>
      </c>
      <c r="F74" s="5" t="s">
        <v>296</v>
      </c>
      <c r="G74" s="5" t="s">
        <v>862</v>
      </c>
      <c r="H74" s="5" t="s">
        <v>863</v>
      </c>
      <c r="I74" s="5" t="s">
        <v>90</v>
      </c>
      <c r="J74" s="5" t="s">
        <v>271</v>
      </c>
      <c r="K74" s="5"/>
      <c r="L74" s="5" t="s">
        <v>95</v>
      </c>
      <c r="M74" s="5"/>
      <c r="N74" s="5"/>
      <c r="O74" s="5"/>
      <c r="P74" s="5"/>
    </row>
    <row r="75" customFormat="false" ht="27.75" hidden="false" customHeight="true" outlineLevel="0" collapsed="false">
      <c r="A75" s="5" t="s">
        <v>864</v>
      </c>
      <c r="B75" s="5" t="s">
        <v>128</v>
      </c>
      <c r="C75" s="5" t="s">
        <v>99</v>
      </c>
      <c r="D75" s="5" t="s">
        <v>865</v>
      </c>
      <c r="E75" s="5" t="s">
        <v>866</v>
      </c>
      <c r="F75" s="5" t="s">
        <v>296</v>
      </c>
      <c r="G75" s="5" t="s">
        <v>867</v>
      </c>
      <c r="H75" s="5" t="s">
        <v>868</v>
      </c>
      <c r="I75" s="5" t="s">
        <v>88</v>
      </c>
      <c r="J75" s="5" t="s">
        <v>195</v>
      </c>
      <c r="K75" s="5" t="s">
        <v>869</v>
      </c>
      <c r="L75" s="5" t="s">
        <v>32</v>
      </c>
      <c r="M75" s="5" t="s">
        <v>197</v>
      </c>
      <c r="N75" s="5" t="s">
        <v>28</v>
      </c>
      <c r="O75" s="5"/>
      <c r="P75" s="5"/>
    </row>
    <row r="76" customFormat="false" ht="41.25" hidden="false" customHeight="true" outlineLevel="0" collapsed="false">
      <c r="A76" s="5" t="s">
        <v>870</v>
      </c>
      <c r="B76" s="5" t="s">
        <v>128</v>
      </c>
      <c r="C76" s="5" t="s">
        <v>99</v>
      </c>
      <c r="D76" s="5" t="s">
        <v>871</v>
      </c>
      <c r="E76" s="5" t="s">
        <v>872</v>
      </c>
      <c r="F76" s="5" t="s">
        <v>296</v>
      </c>
      <c r="G76" s="5" t="s">
        <v>873</v>
      </c>
      <c r="H76" s="5" t="s">
        <v>874</v>
      </c>
      <c r="I76" s="5" t="s">
        <v>89</v>
      </c>
      <c r="J76" s="5" t="s">
        <v>195</v>
      </c>
      <c r="K76" s="5"/>
      <c r="L76" s="5" t="s">
        <v>95</v>
      </c>
      <c r="M76" s="5"/>
      <c r="N76" s="5"/>
      <c r="O76" s="5"/>
      <c r="P76" s="5"/>
    </row>
    <row r="77" customFormat="false" ht="15" hidden="false" customHeight="true" outlineLevel="0" collapsed="false">
      <c r="A77" s="5" t="s">
        <v>875</v>
      </c>
      <c r="B77" s="5" t="s">
        <v>128</v>
      </c>
      <c r="C77" s="5" t="s">
        <v>99</v>
      </c>
      <c r="D77" s="5" t="s">
        <v>876</v>
      </c>
      <c r="E77" s="5" t="s">
        <v>877</v>
      </c>
      <c r="F77" s="5" t="s">
        <v>878</v>
      </c>
      <c r="G77" s="5" t="s">
        <v>879</v>
      </c>
      <c r="H77" s="5" t="s">
        <v>880</v>
      </c>
      <c r="I77" s="5" t="s">
        <v>90</v>
      </c>
      <c r="J77" s="5" t="s">
        <v>195</v>
      </c>
      <c r="K77" s="5"/>
      <c r="L77" s="5" t="s">
        <v>95</v>
      </c>
      <c r="M77" s="5"/>
      <c r="N77" s="5"/>
      <c r="O77" s="5"/>
      <c r="P77" s="5"/>
    </row>
    <row r="78" customFormat="false" ht="54.75" hidden="false" customHeight="true" outlineLevel="0" collapsed="false">
      <c r="A78" s="5" t="s">
        <v>881</v>
      </c>
      <c r="B78" s="5" t="s">
        <v>129</v>
      </c>
      <c r="C78" s="5" t="s">
        <v>99</v>
      </c>
      <c r="D78" s="5" t="s">
        <v>882</v>
      </c>
      <c r="E78" s="5" t="s">
        <v>400</v>
      </c>
      <c r="F78" s="5" t="s">
        <v>883</v>
      </c>
      <c r="G78" s="5" t="s">
        <v>884</v>
      </c>
      <c r="H78" s="5" t="s">
        <v>885</v>
      </c>
      <c r="I78" s="5" t="s">
        <v>89</v>
      </c>
      <c r="J78" s="5" t="s">
        <v>195</v>
      </c>
      <c r="K78" s="5"/>
      <c r="L78" s="5" t="s">
        <v>95</v>
      </c>
      <c r="M78" s="5"/>
      <c r="N78" s="5"/>
      <c r="O78" s="5"/>
      <c r="P78" s="5"/>
    </row>
    <row r="79" customFormat="false" ht="15" hidden="false" customHeight="true" outlineLevel="0" collapsed="false">
      <c r="A79" s="5" t="s">
        <v>886</v>
      </c>
      <c r="B79" s="5" t="s">
        <v>129</v>
      </c>
      <c r="C79" s="5" t="s">
        <v>99</v>
      </c>
      <c r="D79" s="5" t="s">
        <v>887</v>
      </c>
      <c r="E79" s="5" t="s">
        <v>888</v>
      </c>
      <c r="F79" s="5" t="s">
        <v>296</v>
      </c>
      <c r="G79" s="5" t="s">
        <v>889</v>
      </c>
      <c r="H79" s="5" t="s">
        <v>890</v>
      </c>
      <c r="I79" s="5" t="s">
        <v>89</v>
      </c>
      <c r="J79" s="5" t="s">
        <v>218</v>
      </c>
      <c r="K79" s="5"/>
      <c r="L79" s="5" t="s">
        <v>95</v>
      </c>
      <c r="M79" s="5"/>
      <c r="N79" s="5"/>
      <c r="O79" s="5"/>
      <c r="P79" s="5"/>
    </row>
    <row r="80" customFormat="false" ht="27.75" hidden="false" customHeight="true" outlineLevel="0" collapsed="false">
      <c r="A80" s="5" t="s">
        <v>891</v>
      </c>
      <c r="B80" s="5" t="s">
        <v>129</v>
      </c>
      <c r="C80" s="5" t="s">
        <v>99</v>
      </c>
      <c r="D80" s="5" t="s">
        <v>892</v>
      </c>
      <c r="E80" s="5" t="s">
        <v>400</v>
      </c>
      <c r="F80" s="5" t="s">
        <v>296</v>
      </c>
      <c r="G80" s="5" t="s">
        <v>893</v>
      </c>
      <c r="H80" s="5" t="s">
        <v>894</v>
      </c>
      <c r="I80" s="5" t="s">
        <v>90</v>
      </c>
      <c r="J80" s="5" t="s">
        <v>195</v>
      </c>
      <c r="K80" s="5"/>
      <c r="L80" s="5" t="s">
        <v>95</v>
      </c>
      <c r="M80" s="5"/>
      <c r="N80" s="5"/>
      <c r="O80" s="5"/>
      <c r="P80" s="5"/>
    </row>
    <row r="81" customFormat="false" ht="15" hidden="false" customHeight="true" outlineLevel="0" collapsed="false">
      <c r="A81" s="5" t="s">
        <v>895</v>
      </c>
      <c r="B81" s="5" t="s">
        <v>129</v>
      </c>
      <c r="C81" s="5" t="s">
        <v>99</v>
      </c>
      <c r="D81" s="5" t="s">
        <v>896</v>
      </c>
      <c r="E81" s="5" t="s">
        <v>400</v>
      </c>
      <c r="F81" s="5" t="s">
        <v>296</v>
      </c>
      <c r="G81" s="5" t="s">
        <v>897</v>
      </c>
      <c r="H81" s="5" t="s">
        <v>898</v>
      </c>
      <c r="I81" s="5" t="s">
        <v>90</v>
      </c>
      <c r="J81" s="5" t="s">
        <v>271</v>
      </c>
      <c r="K81" s="5"/>
      <c r="L81" s="5" t="s">
        <v>95</v>
      </c>
      <c r="M81" s="5"/>
      <c r="N81" s="5"/>
      <c r="O81" s="5"/>
      <c r="P81" s="5"/>
    </row>
    <row r="82" customFormat="false" ht="27.75" hidden="false" customHeight="true" outlineLevel="0" collapsed="false">
      <c r="A82" s="5" t="s">
        <v>899</v>
      </c>
      <c r="B82" s="5" t="s">
        <v>130</v>
      </c>
      <c r="C82" s="5" t="s">
        <v>99</v>
      </c>
      <c r="D82" s="5" t="s">
        <v>900</v>
      </c>
      <c r="E82" s="5" t="s">
        <v>901</v>
      </c>
      <c r="F82" s="5" t="s">
        <v>296</v>
      </c>
      <c r="G82" s="5" t="s">
        <v>902</v>
      </c>
      <c r="H82" s="5" t="s">
        <v>903</v>
      </c>
      <c r="I82" s="5" t="s">
        <v>89</v>
      </c>
      <c r="J82" s="5" t="s">
        <v>195</v>
      </c>
      <c r="K82" s="5"/>
      <c r="L82" s="5" t="s">
        <v>95</v>
      </c>
      <c r="M82" s="5"/>
      <c r="N82" s="5"/>
      <c r="O82" s="5"/>
      <c r="P82" s="5"/>
    </row>
    <row r="83" customFormat="false" ht="27.75" hidden="false" customHeight="true" outlineLevel="0" collapsed="false">
      <c r="A83" s="5" t="s">
        <v>904</v>
      </c>
      <c r="B83" s="5" t="s">
        <v>130</v>
      </c>
      <c r="C83" s="5" t="s">
        <v>99</v>
      </c>
      <c r="D83" s="5" t="s">
        <v>905</v>
      </c>
      <c r="E83" s="5" t="s">
        <v>906</v>
      </c>
      <c r="F83" s="5" t="s">
        <v>296</v>
      </c>
      <c r="G83" s="5" t="s">
        <v>907</v>
      </c>
      <c r="H83" s="5" t="s">
        <v>908</v>
      </c>
      <c r="I83" s="5" t="s">
        <v>89</v>
      </c>
      <c r="J83" s="5" t="s">
        <v>195</v>
      </c>
      <c r="K83" s="5"/>
      <c r="L83" s="5" t="s">
        <v>95</v>
      </c>
      <c r="M83" s="5"/>
      <c r="N83" s="5"/>
      <c r="O83" s="5"/>
      <c r="P83" s="5"/>
    </row>
    <row r="84" customFormat="false" ht="15" hidden="false" customHeight="true" outlineLevel="0" collapsed="false">
      <c r="A84" s="5" t="s">
        <v>909</v>
      </c>
      <c r="B84" s="5" t="s">
        <v>130</v>
      </c>
      <c r="C84" s="5" t="s">
        <v>99</v>
      </c>
      <c r="D84" s="5" t="s">
        <v>910</v>
      </c>
      <c r="E84" s="5" t="s">
        <v>911</v>
      </c>
      <c r="F84" s="5" t="s">
        <v>912</v>
      </c>
      <c r="G84" s="5" t="s">
        <v>913</v>
      </c>
      <c r="H84" s="5" t="s">
        <v>914</v>
      </c>
      <c r="I84" s="5" t="s">
        <v>89</v>
      </c>
      <c r="J84" s="5" t="s">
        <v>195</v>
      </c>
      <c r="K84" s="5"/>
      <c r="L84" s="5" t="s">
        <v>95</v>
      </c>
      <c r="M84" s="5"/>
      <c r="N84" s="5"/>
      <c r="O84" s="5"/>
      <c r="P84" s="5"/>
    </row>
    <row r="85" customFormat="false" ht="41.25" hidden="false" customHeight="true" outlineLevel="0" collapsed="false">
      <c r="A85" s="5" t="s">
        <v>915</v>
      </c>
      <c r="B85" s="5" t="s">
        <v>130</v>
      </c>
      <c r="C85" s="5" t="s">
        <v>99</v>
      </c>
      <c r="D85" s="5" t="s">
        <v>916</v>
      </c>
      <c r="E85" s="5" t="s">
        <v>917</v>
      </c>
      <c r="F85" s="5" t="s">
        <v>296</v>
      </c>
      <c r="G85" s="5" t="s">
        <v>918</v>
      </c>
      <c r="H85" s="5" t="s">
        <v>919</v>
      </c>
      <c r="I85" s="5" t="s">
        <v>89</v>
      </c>
      <c r="J85" s="5" t="s">
        <v>195</v>
      </c>
      <c r="K85" s="5"/>
      <c r="L85" s="5" t="s">
        <v>95</v>
      </c>
      <c r="M85" s="5"/>
      <c r="N85" s="5"/>
      <c r="O85" s="5"/>
      <c r="P85" s="5"/>
    </row>
    <row r="86" customFormat="false" ht="27.75" hidden="false" customHeight="true" outlineLevel="0" collapsed="false">
      <c r="A86" s="5" t="s">
        <v>920</v>
      </c>
      <c r="B86" s="5" t="s">
        <v>130</v>
      </c>
      <c r="C86" s="5" t="s">
        <v>99</v>
      </c>
      <c r="D86" s="5" t="s">
        <v>921</v>
      </c>
      <c r="E86" s="5" t="s">
        <v>922</v>
      </c>
      <c r="F86" s="5" t="s">
        <v>296</v>
      </c>
      <c r="G86" s="5" t="s">
        <v>923</v>
      </c>
      <c r="H86" s="5" t="s">
        <v>924</v>
      </c>
      <c r="I86" s="5" t="s">
        <v>90</v>
      </c>
      <c r="J86" s="5" t="s">
        <v>195</v>
      </c>
      <c r="K86" s="5"/>
      <c r="L86" s="5" t="s">
        <v>95</v>
      </c>
      <c r="M86" s="5"/>
      <c r="N86" s="5"/>
      <c r="O86" s="5"/>
      <c r="P86" s="5"/>
    </row>
    <row r="87" customFormat="false" ht="27.75" hidden="false" customHeight="true" outlineLevel="0" collapsed="false">
      <c r="A87" s="5" t="s">
        <v>925</v>
      </c>
      <c r="B87" s="5" t="s">
        <v>130</v>
      </c>
      <c r="C87" s="5" t="s">
        <v>99</v>
      </c>
      <c r="D87" s="5" t="s">
        <v>926</v>
      </c>
      <c r="E87" s="5" t="s">
        <v>927</v>
      </c>
      <c r="F87" s="5" t="s">
        <v>296</v>
      </c>
      <c r="G87" s="5" t="s">
        <v>913</v>
      </c>
      <c r="H87" s="5" t="s">
        <v>928</v>
      </c>
      <c r="I87" s="5" t="s">
        <v>90</v>
      </c>
      <c r="J87" s="5" t="s">
        <v>195</v>
      </c>
      <c r="K87" s="5"/>
      <c r="L87" s="5" t="s">
        <v>95</v>
      </c>
      <c r="M87" s="5"/>
      <c r="N87" s="5"/>
      <c r="O87" s="5"/>
      <c r="P87" s="5"/>
    </row>
    <row r="88" customFormat="false" ht="27.75" hidden="false" customHeight="true" outlineLevel="0" collapsed="false">
      <c r="A88" s="5" t="s">
        <v>929</v>
      </c>
      <c r="B88" s="5" t="s">
        <v>130</v>
      </c>
      <c r="C88" s="5" t="s">
        <v>99</v>
      </c>
      <c r="D88" s="5" t="s">
        <v>930</v>
      </c>
      <c r="E88" s="5" t="s">
        <v>931</v>
      </c>
      <c r="F88" s="5" t="s">
        <v>296</v>
      </c>
      <c r="G88" s="5" t="s">
        <v>932</v>
      </c>
      <c r="H88" s="5" t="s">
        <v>933</v>
      </c>
      <c r="I88" s="5" t="s">
        <v>90</v>
      </c>
      <c r="J88" s="5" t="s">
        <v>271</v>
      </c>
      <c r="K88" s="5"/>
      <c r="L88" s="5" t="s">
        <v>95</v>
      </c>
      <c r="M88" s="5"/>
      <c r="N88" s="5"/>
      <c r="O88" s="5"/>
      <c r="P88" s="5"/>
    </row>
    <row r="89" customFormat="false" ht="15" hidden="false" customHeight="true" outlineLevel="0" collapsed="false">
      <c r="A89" s="5" t="s">
        <v>934</v>
      </c>
      <c r="B89" s="5" t="s">
        <v>130</v>
      </c>
      <c r="C89" s="5" t="s">
        <v>99</v>
      </c>
      <c r="D89" s="5" t="s">
        <v>935</v>
      </c>
      <c r="E89" s="5" t="s">
        <v>936</v>
      </c>
      <c r="F89" s="5" t="s">
        <v>296</v>
      </c>
      <c r="G89" s="5" t="s">
        <v>937</v>
      </c>
      <c r="H89" s="5" t="s">
        <v>938</v>
      </c>
      <c r="I89" s="5" t="s">
        <v>90</v>
      </c>
      <c r="J89" s="5" t="s">
        <v>271</v>
      </c>
      <c r="K89" s="5"/>
      <c r="L89" s="5" t="s">
        <v>95</v>
      </c>
      <c r="M89" s="5"/>
      <c r="N89" s="5"/>
      <c r="O89" s="5"/>
      <c r="P89" s="5"/>
    </row>
    <row r="90" customFormat="false" ht="15" hidden="false" customHeight="true" outlineLevel="0" collapsed="false">
      <c r="A90" s="5" t="s">
        <v>939</v>
      </c>
      <c r="B90" s="5" t="s">
        <v>130</v>
      </c>
      <c r="C90" s="5" t="s">
        <v>99</v>
      </c>
      <c r="D90" s="5" t="s">
        <v>940</v>
      </c>
      <c r="E90" s="5" t="s">
        <v>750</v>
      </c>
      <c r="F90" s="5" t="s">
        <v>296</v>
      </c>
      <c r="G90" s="5" t="s">
        <v>902</v>
      </c>
      <c r="H90" s="5" t="s">
        <v>941</v>
      </c>
      <c r="I90" s="5" t="s">
        <v>89</v>
      </c>
      <c r="J90" s="5" t="s">
        <v>210</v>
      </c>
      <c r="K90" s="5"/>
      <c r="L90" s="5" t="s">
        <v>95</v>
      </c>
      <c r="M90" s="5"/>
      <c r="N90" s="5"/>
      <c r="O90" s="5"/>
      <c r="P90" s="5"/>
    </row>
    <row r="91" customFormat="false" ht="27.75" hidden="false" customHeight="true" outlineLevel="0" collapsed="false">
      <c r="A91" s="5" t="s">
        <v>942</v>
      </c>
      <c r="B91" s="5" t="s">
        <v>131</v>
      </c>
      <c r="C91" s="5" t="s">
        <v>99</v>
      </c>
      <c r="D91" s="5" t="s">
        <v>943</v>
      </c>
      <c r="E91" s="5" t="s">
        <v>944</v>
      </c>
      <c r="F91" s="5" t="s">
        <v>296</v>
      </c>
      <c r="G91" s="5" t="s">
        <v>945</v>
      </c>
      <c r="H91" s="5" t="s">
        <v>946</v>
      </c>
      <c r="I91" s="5" t="s">
        <v>89</v>
      </c>
      <c r="J91" s="5" t="s">
        <v>195</v>
      </c>
      <c r="K91" s="5" t="s">
        <v>947</v>
      </c>
      <c r="L91" s="5" t="s">
        <v>32</v>
      </c>
      <c r="M91" s="5" t="s">
        <v>197</v>
      </c>
      <c r="N91" s="5" t="s">
        <v>28</v>
      </c>
      <c r="O91" s="5"/>
      <c r="P91" s="5"/>
    </row>
    <row r="92" customFormat="false" ht="27.75" hidden="false" customHeight="true" outlineLevel="0" collapsed="false">
      <c r="A92" s="5" t="s">
        <v>948</v>
      </c>
      <c r="B92" s="5" t="s">
        <v>131</v>
      </c>
      <c r="C92" s="5" t="s">
        <v>99</v>
      </c>
      <c r="D92" s="5" t="s">
        <v>949</v>
      </c>
      <c r="E92" s="5" t="s">
        <v>950</v>
      </c>
      <c r="F92" s="5" t="s">
        <v>951</v>
      </c>
      <c r="G92" s="5" t="s">
        <v>952</v>
      </c>
      <c r="H92" s="5" t="s">
        <v>953</v>
      </c>
      <c r="I92" s="5" t="s">
        <v>90</v>
      </c>
      <c r="J92" s="5" t="s">
        <v>195</v>
      </c>
      <c r="K92" s="5"/>
      <c r="L92" s="5" t="s">
        <v>95</v>
      </c>
      <c r="M92" s="5"/>
      <c r="N92" s="5"/>
      <c r="O92" s="5"/>
      <c r="P92" s="5"/>
    </row>
    <row r="93" customFormat="false" ht="27.75" hidden="false" customHeight="true" outlineLevel="0" collapsed="false">
      <c r="A93" s="5" t="s">
        <v>954</v>
      </c>
      <c r="B93" s="5" t="s">
        <v>131</v>
      </c>
      <c r="C93" s="5" t="s">
        <v>99</v>
      </c>
      <c r="D93" s="5" t="s">
        <v>955</v>
      </c>
      <c r="E93" s="5" t="s">
        <v>956</v>
      </c>
      <c r="F93" s="5" t="s">
        <v>296</v>
      </c>
      <c r="G93" s="5" t="s">
        <v>957</v>
      </c>
      <c r="H93" s="5" t="s">
        <v>958</v>
      </c>
      <c r="I93" s="5" t="s">
        <v>90</v>
      </c>
      <c r="J93" s="5" t="s">
        <v>195</v>
      </c>
      <c r="K93" s="5"/>
      <c r="L93" s="5" t="s">
        <v>95</v>
      </c>
      <c r="M93" s="5"/>
      <c r="N93" s="5"/>
      <c r="O93" s="5"/>
      <c r="P93" s="5"/>
    </row>
    <row r="94" customFormat="false" ht="27.75" hidden="false" customHeight="true" outlineLevel="0" collapsed="false">
      <c r="A94" s="5" t="s">
        <v>959</v>
      </c>
      <c r="B94" s="5" t="s">
        <v>131</v>
      </c>
      <c r="C94" s="5" t="s">
        <v>99</v>
      </c>
      <c r="D94" s="5" t="s">
        <v>960</v>
      </c>
      <c r="E94" s="5" t="s">
        <v>950</v>
      </c>
      <c r="F94" s="5" t="s">
        <v>961</v>
      </c>
      <c r="G94" s="5" t="s">
        <v>962</v>
      </c>
      <c r="H94" s="5" t="s">
        <v>963</v>
      </c>
      <c r="I94" s="5" t="s">
        <v>90</v>
      </c>
      <c r="J94" s="5" t="s">
        <v>195</v>
      </c>
      <c r="K94" s="5"/>
      <c r="L94" s="5" t="s">
        <v>95</v>
      </c>
      <c r="M94" s="5"/>
      <c r="N94" s="5"/>
      <c r="O94" s="5"/>
      <c r="P94" s="5"/>
    </row>
    <row r="95" customFormat="false" ht="27.75" hidden="false" customHeight="true" outlineLevel="0" collapsed="false">
      <c r="A95" s="5" t="s">
        <v>964</v>
      </c>
      <c r="B95" s="5" t="s">
        <v>131</v>
      </c>
      <c r="C95" s="5" t="s">
        <v>99</v>
      </c>
      <c r="D95" s="5" t="s">
        <v>965</v>
      </c>
      <c r="E95" s="5" t="s">
        <v>950</v>
      </c>
      <c r="F95" s="5" t="s">
        <v>296</v>
      </c>
      <c r="G95" s="5" t="s">
        <v>966</v>
      </c>
      <c r="H95" s="5" t="s">
        <v>967</v>
      </c>
      <c r="I95" s="5" t="s">
        <v>89</v>
      </c>
      <c r="J95" s="5" t="s">
        <v>195</v>
      </c>
      <c r="K95" s="5" t="s">
        <v>968</v>
      </c>
      <c r="L95" s="5" t="s">
        <v>32</v>
      </c>
      <c r="M95" s="5" t="s">
        <v>197</v>
      </c>
      <c r="N95" s="5" t="s">
        <v>28</v>
      </c>
      <c r="O95" s="5"/>
      <c r="P95" s="5"/>
    </row>
    <row r="96" customFormat="false" ht="41.25" hidden="false" customHeight="true" outlineLevel="0" collapsed="false">
      <c r="A96" s="5" t="s">
        <v>969</v>
      </c>
      <c r="B96" s="5" t="s">
        <v>131</v>
      </c>
      <c r="C96" s="5" t="s">
        <v>99</v>
      </c>
      <c r="D96" s="5" t="s">
        <v>970</v>
      </c>
      <c r="E96" s="5" t="s">
        <v>971</v>
      </c>
      <c r="F96" s="5" t="s">
        <v>296</v>
      </c>
      <c r="G96" s="5" t="s">
        <v>972</v>
      </c>
      <c r="H96" s="5" t="s">
        <v>973</v>
      </c>
      <c r="I96" s="5" t="s">
        <v>89</v>
      </c>
      <c r="J96" s="5" t="s">
        <v>195</v>
      </c>
      <c r="K96" s="5" t="s">
        <v>974</v>
      </c>
      <c r="L96" s="5" t="s">
        <v>32</v>
      </c>
      <c r="M96" s="5" t="s">
        <v>197</v>
      </c>
      <c r="N96" s="5" t="s">
        <v>28</v>
      </c>
      <c r="O96" s="5"/>
      <c r="P96" s="5"/>
    </row>
    <row r="97" customFormat="false" ht="15" hidden="false" customHeight="true" outlineLevel="0" collapsed="false">
      <c r="A97" s="5" t="s">
        <v>975</v>
      </c>
      <c r="B97" s="5" t="s">
        <v>131</v>
      </c>
      <c r="C97" s="5" t="s">
        <v>99</v>
      </c>
      <c r="D97" s="5" t="s">
        <v>976</v>
      </c>
      <c r="E97" s="5" t="s">
        <v>977</v>
      </c>
      <c r="F97" s="5" t="s">
        <v>296</v>
      </c>
      <c r="G97" s="5" t="s">
        <v>978</v>
      </c>
      <c r="H97" s="5" t="s">
        <v>979</v>
      </c>
      <c r="I97" s="5" t="s">
        <v>89</v>
      </c>
      <c r="J97" s="5" t="s">
        <v>242</v>
      </c>
      <c r="K97" s="5" t="s">
        <v>980</v>
      </c>
      <c r="L97" s="5" t="s">
        <v>32</v>
      </c>
      <c r="M97" s="5" t="s">
        <v>197</v>
      </c>
      <c r="N97" s="5" t="s">
        <v>28</v>
      </c>
      <c r="O97" s="5"/>
      <c r="P97" s="5"/>
    </row>
    <row r="98" customFormat="false" ht="27.75" hidden="false" customHeight="true" outlineLevel="0" collapsed="false">
      <c r="A98" s="5" t="s">
        <v>981</v>
      </c>
      <c r="B98" s="5" t="s">
        <v>131</v>
      </c>
      <c r="C98" s="5" t="s">
        <v>99</v>
      </c>
      <c r="D98" s="5" t="s">
        <v>982</v>
      </c>
      <c r="E98" s="5" t="s">
        <v>983</v>
      </c>
      <c r="F98" s="5" t="s">
        <v>296</v>
      </c>
      <c r="G98" s="5" t="s">
        <v>984</v>
      </c>
      <c r="H98" s="5" t="s">
        <v>985</v>
      </c>
      <c r="I98" s="5" t="s">
        <v>90</v>
      </c>
      <c r="J98" s="5" t="s">
        <v>195</v>
      </c>
      <c r="K98" s="5"/>
      <c r="L98" s="5" t="s">
        <v>95</v>
      </c>
      <c r="M98" s="5"/>
      <c r="N98" s="5"/>
      <c r="O98" s="5"/>
      <c r="P98" s="5"/>
    </row>
    <row r="99" customFormat="false" ht="41.25" hidden="false" customHeight="true" outlineLevel="0" collapsed="false">
      <c r="A99" s="5" t="s">
        <v>986</v>
      </c>
      <c r="B99" s="5" t="s">
        <v>132</v>
      </c>
      <c r="C99" s="5" t="s">
        <v>99</v>
      </c>
      <c r="D99" s="5" t="s">
        <v>987</v>
      </c>
      <c r="E99" s="5" t="s">
        <v>988</v>
      </c>
      <c r="F99" s="5" t="s">
        <v>296</v>
      </c>
      <c r="G99" s="5" t="s">
        <v>989</v>
      </c>
      <c r="H99" s="5" t="s">
        <v>990</v>
      </c>
      <c r="I99" s="5" t="s">
        <v>89</v>
      </c>
      <c r="J99" s="5" t="s">
        <v>195</v>
      </c>
      <c r="K99" s="5" t="s">
        <v>991</v>
      </c>
      <c r="L99" s="5" t="s">
        <v>32</v>
      </c>
      <c r="M99" s="5" t="s">
        <v>197</v>
      </c>
      <c r="N99" s="5" t="s">
        <v>28</v>
      </c>
      <c r="O99" s="5"/>
      <c r="P99" s="5"/>
    </row>
    <row r="100" customFormat="false" ht="27.75" hidden="false" customHeight="true" outlineLevel="0" collapsed="false">
      <c r="A100" s="5" t="s">
        <v>992</v>
      </c>
      <c r="B100" s="5" t="s">
        <v>132</v>
      </c>
      <c r="C100" s="5" t="s">
        <v>99</v>
      </c>
      <c r="D100" s="5" t="s">
        <v>993</v>
      </c>
      <c r="E100" s="5" t="s">
        <v>994</v>
      </c>
      <c r="F100" s="5" t="s">
        <v>995</v>
      </c>
      <c r="G100" s="5" t="s">
        <v>996</v>
      </c>
      <c r="H100" s="5" t="s">
        <v>997</v>
      </c>
      <c r="I100" s="5" t="s">
        <v>89</v>
      </c>
      <c r="J100" s="5" t="s">
        <v>195</v>
      </c>
      <c r="K100" s="5" t="s">
        <v>998</v>
      </c>
      <c r="L100" s="5" t="s">
        <v>32</v>
      </c>
      <c r="M100" s="5" t="s">
        <v>197</v>
      </c>
      <c r="N100" s="5" t="s">
        <v>28</v>
      </c>
      <c r="O100" s="5"/>
      <c r="P100" s="5"/>
    </row>
    <row r="101" customFormat="false" ht="27.75" hidden="false" customHeight="true" outlineLevel="0" collapsed="false">
      <c r="A101" s="5" t="s">
        <v>999</v>
      </c>
      <c r="B101" s="5" t="s">
        <v>132</v>
      </c>
      <c r="C101" s="5" t="s">
        <v>99</v>
      </c>
      <c r="D101" s="5" t="s">
        <v>1000</v>
      </c>
      <c r="E101" s="5" t="s">
        <v>1001</v>
      </c>
      <c r="F101" s="5" t="s">
        <v>1002</v>
      </c>
      <c r="G101" s="5" t="s">
        <v>1003</v>
      </c>
      <c r="H101" s="5" t="s">
        <v>1004</v>
      </c>
      <c r="I101" s="5" t="s">
        <v>89</v>
      </c>
      <c r="J101" s="5" t="s">
        <v>195</v>
      </c>
      <c r="K101" s="5" t="s">
        <v>1005</v>
      </c>
      <c r="L101" s="5" t="s">
        <v>32</v>
      </c>
      <c r="M101" s="5" t="s">
        <v>197</v>
      </c>
      <c r="N101" s="5" t="s">
        <v>28</v>
      </c>
      <c r="O101" s="5"/>
      <c r="P101" s="5"/>
    </row>
    <row r="102" customFormat="false" ht="27.75" hidden="false" customHeight="true" outlineLevel="0" collapsed="false">
      <c r="A102" s="5" t="s">
        <v>1006</v>
      </c>
      <c r="B102" s="5" t="s">
        <v>132</v>
      </c>
      <c r="C102" s="5" t="s">
        <v>99</v>
      </c>
      <c r="D102" s="5" t="s">
        <v>1007</v>
      </c>
      <c r="E102" s="5" t="s">
        <v>1008</v>
      </c>
      <c r="F102" s="5" t="s">
        <v>296</v>
      </c>
      <c r="G102" s="5" t="s">
        <v>1009</v>
      </c>
      <c r="H102" s="5" t="s">
        <v>1010</v>
      </c>
      <c r="I102" s="5" t="s">
        <v>90</v>
      </c>
      <c r="J102" s="5" t="s">
        <v>195</v>
      </c>
      <c r="K102" s="5"/>
      <c r="L102" s="5" t="s">
        <v>95</v>
      </c>
      <c r="M102" s="5"/>
      <c r="N102" s="5"/>
      <c r="O102" s="5"/>
      <c r="P102" s="5"/>
    </row>
    <row r="103" customFormat="false" ht="27.75" hidden="false" customHeight="true" outlineLevel="0" collapsed="false">
      <c r="A103" s="5" t="s">
        <v>1011</v>
      </c>
      <c r="B103" s="5" t="s">
        <v>132</v>
      </c>
      <c r="C103" s="5" t="s">
        <v>99</v>
      </c>
      <c r="D103" s="5" t="s">
        <v>1012</v>
      </c>
      <c r="E103" s="5" t="s">
        <v>1001</v>
      </c>
      <c r="F103" s="5" t="s">
        <v>1013</v>
      </c>
      <c r="G103" s="5" t="s">
        <v>1014</v>
      </c>
      <c r="H103" s="5" t="s">
        <v>1015</v>
      </c>
      <c r="I103" s="5" t="s">
        <v>90</v>
      </c>
      <c r="J103" s="5" t="s">
        <v>242</v>
      </c>
      <c r="K103" s="5"/>
      <c r="L103" s="5" t="s">
        <v>95</v>
      </c>
      <c r="M103" s="5"/>
      <c r="N103" s="5"/>
      <c r="O103" s="5"/>
      <c r="P103" s="5"/>
    </row>
    <row r="104" customFormat="false" ht="15" hidden="false" customHeight="true" outlineLevel="0" collapsed="false">
      <c r="A104" s="5" t="s">
        <v>1016</v>
      </c>
      <c r="B104" s="5" t="s">
        <v>132</v>
      </c>
      <c r="C104" s="5" t="s">
        <v>99</v>
      </c>
      <c r="D104" s="5" t="s">
        <v>1017</v>
      </c>
      <c r="E104" s="5" t="s">
        <v>1001</v>
      </c>
      <c r="F104" s="5" t="s">
        <v>1018</v>
      </c>
      <c r="G104" s="5" t="s">
        <v>1019</v>
      </c>
      <c r="H104" s="5" t="s">
        <v>1020</v>
      </c>
      <c r="I104" s="5" t="s">
        <v>90</v>
      </c>
      <c r="J104" s="5" t="s">
        <v>218</v>
      </c>
      <c r="K104" s="5"/>
      <c r="L104" s="5" t="s">
        <v>95</v>
      </c>
      <c r="M104" s="5"/>
      <c r="N104" s="5"/>
      <c r="O104" s="5"/>
      <c r="P104" s="5"/>
    </row>
    <row r="105" customFormat="false" ht="27.75" hidden="false" customHeight="true" outlineLevel="0" collapsed="false">
      <c r="A105" s="5" t="s">
        <v>1021</v>
      </c>
      <c r="B105" s="5" t="s">
        <v>132</v>
      </c>
      <c r="C105" s="5" t="s">
        <v>99</v>
      </c>
      <c r="D105" s="5" t="s">
        <v>1022</v>
      </c>
      <c r="E105" s="5" t="s">
        <v>1023</v>
      </c>
      <c r="F105" s="5" t="s">
        <v>296</v>
      </c>
      <c r="G105" s="5" t="s">
        <v>1024</v>
      </c>
      <c r="H105" s="5" t="s">
        <v>1025</v>
      </c>
      <c r="I105" s="5" t="s">
        <v>89</v>
      </c>
      <c r="J105" s="5" t="s">
        <v>185</v>
      </c>
      <c r="K105" s="5" t="s">
        <v>1026</v>
      </c>
      <c r="L105" s="5" t="s">
        <v>32</v>
      </c>
      <c r="M105" s="5" t="s">
        <v>197</v>
      </c>
      <c r="N105" s="5" t="s">
        <v>28</v>
      </c>
      <c r="O105" s="5"/>
      <c r="P105" s="5"/>
    </row>
    <row r="106" customFormat="false" ht="68.25" hidden="false" customHeight="true" outlineLevel="0" collapsed="false">
      <c r="A106" s="5" t="s">
        <v>1027</v>
      </c>
      <c r="B106" s="5" t="s">
        <v>132</v>
      </c>
      <c r="C106" s="5" t="s">
        <v>99</v>
      </c>
      <c r="D106" s="5" t="s">
        <v>1028</v>
      </c>
      <c r="E106" s="5" t="s">
        <v>1029</v>
      </c>
      <c r="F106" s="5" t="s">
        <v>1030</v>
      </c>
      <c r="G106" s="5" t="s">
        <v>1031</v>
      </c>
      <c r="H106" s="5" t="s">
        <v>1032</v>
      </c>
      <c r="I106" s="5" t="s">
        <v>88</v>
      </c>
      <c r="J106" s="5" t="s">
        <v>210</v>
      </c>
      <c r="K106" s="5" t="s">
        <v>1033</v>
      </c>
      <c r="L106" s="5" t="s">
        <v>32</v>
      </c>
      <c r="M106" s="5" t="s">
        <v>197</v>
      </c>
      <c r="N106" s="5" t="s">
        <v>28</v>
      </c>
      <c r="O106" s="5"/>
      <c r="P106" s="5"/>
    </row>
    <row r="107" customFormat="false" ht="27.75" hidden="false" customHeight="true" outlineLevel="0" collapsed="false">
      <c r="A107" s="5" t="s">
        <v>1034</v>
      </c>
      <c r="B107" s="5" t="s">
        <v>132</v>
      </c>
      <c r="C107" s="5" t="s">
        <v>99</v>
      </c>
      <c r="D107" s="5" t="s">
        <v>1035</v>
      </c>
      <c r="E107" s="5" t="s">
        <v>1001</v>
      </c>
      <c r="F107" s="5" t="s">
        <v>1036</v>
      </c>
      <c r="G107" s="5" t="s">
        <v>1037</v>
      </c>
      <c r="H107" s="5" t="s">
        <v>1038</v>
      </c>
      <c r="I107" s="5" t="s">
        <v>89</v>
      </c>
      <c r="J107" s="5" t="s">
        <v>271</v>
      </c>
      <c r="K107" s="5" t="s">
        <v>1039</v>
      </c>
      <c r="L107" s="5" t="s">
        <v>32</v>
      </c>
      <c r="M107" s="5" t="s">
        <v>197</v>
      </c>
      <c r="N107" s="5" t="s">
        <v>28</v>
      </c>
      <c r="O107" s="5"/>
      <c r="P107" s="5"/>
    </row>
    <row r="108" customFormat="false" ht="54.75" hidden="false" customHeight="true" outlineLevel="0" collapsed="false">
      <c r="A108" s="5" t="s">
        <v>1040</v>
      </c>
      <c r="B108" s="5" t="s">
        <v>133</v>
      </c>
      <c r="C108" s="5" t="s">
        <v>99</v>
      </c>
      <c r="D108" s="5" t="s">
        <v>1041</v>
      </c>
      <c r="E108" s="5" t="s">
        <v>1042</v>
      </c>
      <c r="F108" s="5" t="s">
        <v>1043</v>
      </c>
      <c r="G108" s="5" t="s">
        <v>1044</v>
      </c>
      <c r="H108" s="5" t="s">
        <v>1045</v>
      </c>
      <c r="I108" s="5" t="s">
        <v>89</v>
      </c>
      <c r="J108" s="5" t="s">
        <v>195</v>
      </c>
      <c r="K108" s="5" t="s">
        <v>1046</v>
      </c>
      <c r="L108" s="5" t="s">
        <v>32</v>
      </c>
      <c r="M108" s="5" t="s">
        <v>197</v>
      </c>
      <c r="N108" s="5" t="s">
        <v>28</v>
      </c>
      <c r="O108" s="5"/>
      <c r="P108" s="5"/>
    </row>
    <row r="109" customFormat="false" ht="41.25" hidden="false" customHeight="true" outlineLevel="0" collapsed="false">
      <c r="A109" s="5" t="s">
        <v>1047</v>
      </c>
      <c r="B109" s="5" t="s">
        <v>133</v>
      </c>
      <c r="C109" s="5" t="s">
        <v>99</v>
      </c>
      <c r="D109" s="5" t="s">
        <v>1048</v>
      </c>
      <c r="E109" s="5" t="s">
        <v>1049</v>
      </c>
      <c r="F109" s="5" t="s">
        <v>1050</v>
      </c>
      <c r="G109" s="5" t="s">
        <v>1051</v>
      </c>
      <c r="H109" s="5" t="s">
        <v>1052</v>
      </c>
      <c r="I109" s="5" t="s">
        <v>89</v>
      </c>
      <c r="J109" s="5" t="s">
        <v>210</v>
      </c>
      <c r="K109" s="5" t="s">
        <v>1053</v>
      </c>
      <c r="L109" s="5" t="s">
        <v>32</v>
      </c>
      <c r="M109" s="5" t="s">
        <v>197</v>
      </c>
      <c r="N109" s="5" t="s">
        <v>28</v>
      </c>
      <c r="O109" s="5"/>
      <c r="P109" s="5"/>
    </row>
    <row r="110" customFormat="false" ht="15" hidden="false" customHeight="true" outlineLevel="0" collapsed="false">
      <c r="A110" s="5" t="s">
        <v>1054</v>
      </c>
      <c r="B110" s="5" t="s">
        <v>133</v>
      </c>
      <c r="C110" s="5" t="s">
        <v>99</v>
      </c>
      <c r="D110" s="5" t="s">
        <v>1055</v>
      </c>
      <c r="E110" s="5" t="s">
        <v>1056</v>
      </c>
      <c r="F110" s="5" t="s">
        <v>1057</v>
      </c>
      <c r="G110" s="5" t="s">
        <v>1058</v>
      </c>
      <c r="H110" s="5" t="s">
        <v>1059</v>
      </c>
      <c r="I110" s="5" t="s">
        <v>90</v>
      </c>
      <c r="J110" s="5" t="s">
        <v>218</v>
      </c>
      <c r="K110" s="5"/>
      <c r="L110" s="5" t="s">
        <v>95</v>
      </c>
      <c r="M110" s="5"/>
      <c r="N110" s="5"/>
      <c r="O110" s="5"/>
      <c r="P110" s="5"/>
    </row>
    <row r="111" customFormat="false" ht="27.75" hidden="false" customHeight="true" outlineLevel="0" collapsed="false">
      <c r="A111" s="5" t="s">
        <v>1060</v>
      </c>
      <c r="B111" s="5" t="s">
        <v>133</v>
      </c>
      <c r="C111" s="5" t="s">
        <v>99</v>
      </c>
      <c r="D111" s="5" t="s">
        <v>1061</v>
      </c>
      <c r="E111" s="5" t="s">
        <v>1056</v>
      </c>
      <c r="F111" s="5" t="s">
        <v>1062</v>
      </c>
      <c r="G111" s="5" t="s">
        <v>1063</v>
      </c>
      <c r="H111" s="5" t="s">
        <v>1064</v>
      </c>
      <c r="I111" s="5" t="s">
        <v>90</v>
      </c>
      <c r="J111" s="5" t="s">
        <v>242</v>
      </c>
      <c r="K111" s="5"/>
      <c r="L111" s="5" t="s">
        <v>95</v>
      </c>
      <c r="M111" s="5"/>
      <c r="N111" s="5"/>
      <c r="O111" s="5"/>
      <c r="P111" s="5"/>
    </row>
    <row r="112" customFormat="false" ht="15" hidden="false" customHeight="true" outlineLevel="0" collapsed="false">
      <c r="A112" s="5" t="s">
        <v>1065</v>
      </c>
      <c r="B112" s="5" t="s">
        <v>133</v>
      </c>
      <c r="C112" s="5" t="s">
        <v>99</v>
      </c>
      <c r="D112" s="5" t="s">
        <v>1066</v>
      </c>
      <c r="E112" s="5" t="s">
        <v>1056</v>
      </c>
      <c r="F112" s="5" t="s">
        <v>1067</v>
      </c>
      <c r="G112" s="5" t="s">
        <v>1051</v>
      </c>
      <c r="H112" s="5" t="s">
        <v>1068</v>
      </c>
      <c r="I112" s="5" t="s">
        <v>90</v>
      </c>
      <c r="J112" s="5" t="s">
        <v>218</v>
      </c>
      <c r="K112" s="5"/>
      <c r="L112" s="5" t="s">
        <v>95</v>
      </c>
      <c r="M112" s="5"/>
      <c r="N112" s="5"/>
      <c r="O112" s="5"/>
      <c r="P112" s="5"/>
    </row>
    <row r="113" customFormat="false" ht="41.25" hidden="false" customHeight="true" outlineLevel="0" collapsed="false">
      <c r="A113" s="5" t="s">
        <v>1069</v>
      </c>
      <c r="B113" s="5" t="s">
        <v>133</v>
      </c>
      <c r="C113" s="5" t="s">
        <v>99</v>
      </c>
      <c r="D113" s="5" t="s">
        <v>1070</v>
      </c>
      <c r="E113" s="5" t="s">
        <v>1071</v>
      </c>
      <c r="F113" s="5" t="s">
        <v>1072</v>
      </c>
      <c r="G113" s="5" t="s">
        <v>1073</v>
      </c>
      <c r="H113" s="5" t="s">
        <v>1074</v>
      </c>
      <c r="I113" s="5" t="s">
        <v>89</v>
      </c>
      <c r="J113" s="5" t="s">
        <v>195</v>
      </c>
      <c r="K113" s="5" t="s">
        <v>1075</v>
      </c>
      <c r="L113" s="5" t="s">
        <v>32</v>
      </c>
      <c r="M113" s="5" t="s">
        <v>197</v>
      </c>
      <c r="N113" s="5" t="s">
        <v>28</v>
      </c>
      <c r="O113" s="5"/>
      <c r="P113" s="5"/>
    </row>
    <row r="114" customFormat="false" ht="27.75" hidden="false" customHeight="true" outlineLevel="0" collapsed="false">
      <c r="A114" s="5" t="s">
        <v>1076</v>
      </c>
      <c r="B114" s="5" t="s">
        <v>133</v>
      </c>
      <c r="C114" s="5" t="s">
        <v>99</v>
      </c>
      <c r="D114" s="5" t="s">
        <v>1077</v>
      </c>
      <c r="E114" s="5" t="s">
        <v>1078</v>
      </c>
      <c r="F114" s="5" t="s">
        <v>296</v>
      </c>
      <c r="G114" s="5" t="s">
        <v>1079</v>
      </c>
      <c r="H114" s="5" t="s">
        <v>1080</v>
      </c>
      <c r="I114" s="5" t="s">
        <v>89</v>
      </c>
      <c r="J114" s="5" t="s">
        <v>195</v>
      </c>
      <c r="K114" s="5" t="s">
        <v>1081</v>
      </c>
      <c r="L114" s="5" t="s">
        <v>32</v>
      </c>
      <c r="M114" s="5" t="s">
        <v>197</v>
      </c>
      <c r="N114" s="5" t="s">
        <v>28</v>
      </c>
      <c r="O114" s="5"/>
      <c r="P114" s="5"/>
    </row>
    <row r="115" customFormat="false" ht="27.75" hidden="false" customHeight="true" outlineLevel="0" collapsed="false">
      <c r="A115" s="5" t="s">
        <v>1082</v>
      </c>
      <c r="B115" s="5" t="s">
        <v>133</v>
      </c>
      <c r="C115" s="5" t="s">
        <v>99</v>
      </c>
      <c r="D115" s="5" t="s">
        <v>1083</v>
      </c>
      <c r="E115" s="5" t="s">
        <v>1084</v>
      </c>
      <c r="F115" s="5" t="s">
        <v>296</v>
      </c>
      <c r="G115" s="5" t="s">
        <v>1085</v>
      </c>
      <c r="H115" s="5" t="s">
        <v>1086</v>
      </c>
      <c r="I115" s="5" t="s">
        <v>90</v>
      </c>
      <c r="J115" s="5" t="s">
        <v>195</v>
      </c>
      <c r="K115" s="5"/>
      <c r="L115" s="5" t="s">
        <v>95</v>
      </c>
      <c r="M115" s="5"/>
      <c r="N115" s="5"/>
      <c r="O115" s="5"/>
      <c r="P115" s="5"/>
    </row>
    <row r="116" customFormat="false" ht="27.75" hidden="false" customHeight="true" outlineLevel="0" collapsed="false">
      <c r="A116" s="5" t="s">
        <v>1087</v>
      </c>
      <c r="B116" s="5" t="s">
        <v>133</v>
      </c>
      <c r="C116" s="5" t="s">
        <v>99</v>
      </c>
      <c r="D116" s="5" t="s">
        <v>1088</v>
      </c>
      <c r="E116" s="5" t="s">
        <v>1089</v>
      </c>
      <c r="F116" s="5" t="s">
        <v>296</v>
      </c>
      <c r="G116" s="5" t="s">
        <v>1090</v>
      </c>
      <c r="H116" s="5" t="s">
        <v>1091</v>
      </c>
      <c r="I116" s="5" t="s">
        <v>90</v>
      </c>
      <c r="J116" s="5" t="s">
        <v>195</v>
      </c>
      <c r="K116" s="5"/>
      <c r="L116" s="5" t="s">
        <v>95</v>
      </c>
      <c r="M116" s="5"/>
      <c r="N116" s="5"/>
      <c r="O116" s="5"/>
      <c r="P116" s="5"/>
    </row>
    <row r="117" customFormat="false" ht="68.25" hidden="false" customHeight="true" outlineLevel="0" collapsed="false">
      <c r="A117" s="5" t="s">
        <v>1092</v>
      </c>
      <c r="B117" s="5" t="s">
        <v>134</v>
      </c>
      <c r="C117" s="5" t="s">
        <v>99</v>
      </c>
      <c r="D117" s="5" t="s">
        <v>1093</v>
      </c>
      <c r="E117" s="5" t="s">
        <v>1094</v>
      </c>
      <c r="F117" s="5" t="s">
        <v>296</v>
      </c>
      <c r="G117" s="5" t="s">
        <v>1095</v>
      </c>
      <c r="H117" s="5" t="s">
        <v>1096</v>
      </c>
      <c r="I117" s="5" t="s">
        <v>88</v>
      </c>
      <c r="J117" s="5" t="s">
        <v>195</v>
      </c>
      <c r="K117" s="5" t="s">
        <v>1097</v>
      </c>
      <c r="L117" s="5" t="s">
        <v>32</v>
      </c>
      <c r="M117" s="5" t="s">
        <v>197</v>
      </c>
      <c r="N117" s="5" t="s">
        <v>28</v>
      </c>
      <c r="O117" s="5"/>
      <c r="P117" s="5"/>
    </row>
    <row r="118" customFormat="false" ht="41.25" hidden="false" customHeight="true" outlineLevel="0" collapsed="false">
      <c r="A118" s="5" t="s">
        <v>1098</v>
      </c>
      <c r="B118" s="5" t="s">
        <v>134</v>
      </c>
      <c r="C118" s="5" t="s">
        <v>99</v>
      </c>
      <c r="D118" s="5" t="s">
        <v>1099</v>
      </c>
      <c r="E118" s="5" t="s">
        <v>1100</v>
      </c>
      <c r="F118" s="5" t="s">
        <v>296</v>
      </c>
      <c r="G118" s="5" t="s">
        <v>1101</v>
      </c>
      <c r="H118" s="5" t="s">
        <v>1102</v>
      </c>
      <c r="I118" s="5" t="s">
        <v>89</v>
      </c>
      <c r="J118" s="5" t="s">
        <v>195</v>
      </c>
      <c r="K118" s="5" t="s">
        <v>1103</v>
      </c>
      <c r="L118" s="5" t="s">
        <v>32</v>
      </c>
      <c r="M118" s="5" t="s">
        <v>197</v>
      </c>
      <c r="N118" s="5" t="s">
        <v>28</v>
      </c>
      <c r="O118" s="5"/>
      <c r="P118" s="5"/>
    </row>
    <row r="119" customFormat="false" ht="41.25" hidden="false" customHeight="true" outlineLevel="0" collapsed="false">
      <c r="A119" s="5" t="s">
        <v>1104</v>
      </c>
      <c r="B119" s="5" t="s">
        <v>134</v>
      </c>
      <c r="C119" s="5" t="s">
        <v>99</v>
      </c>
      <c r="D119" s="5" t="s">
        <v>1105</v>
      </c>
      <c r="E119" s="5" t="s">
        <v>1106</v>
      </c>
      <c r="F119" s="5" t="s">
        <v>296</v>
      </c>
      <c r="G119" s="5" t="s">
        <v>1107</v>
      </c>
      <c r="H119" s="5" t="s">
        <v>1108</v>
      </c>
      <c r="I119" s="5" t="s">
        <v>89</v>
      </c>
      <c r="J119" s="5" t="s">
        <v>218</v>
      </c>
      <c r="K119" s="5" t="s">
        <v>1109</v>
      </c>
      <c r="L119" s="5" t="s">
        <v>32</v>
      </c>
      <c r="M119" s="5" t="s">
        <v>197</v>
      </c>
      <c r="N119" s="5" t="s">
        <v>28</v>
      </c>
      <c r="O119" s="5" t="s">
        <v>1110</v>
      </c>
      <c r="P119" s="5"/>
    </row>
    <row r="120" customFormat="false" ht="41.25" hidden="false" customHeight="true" outlineLevel="0" collapsed="false">
      <c r="A120" s="5" t="s">
        <v>1111</v>
      </c>
      <c r="B120" s="5" t="s">
        <v>134</v>
      </c>
      <c r="C120" s="5" t="s">
        <v>99</v>
      </c>
      <c r="D120" s="5" t="s">
        <v>1112</v>
      </c>
      <c r="E120" s="5" t="s">
        <v>1113</v>
      </c>
      <c r="F120" s="5" t="s">
        <v>296</v>
      </c>
      <c r="G120" s="5" t="s">
        <v>1114</v>
      </c>
      <c r="H120" s="5" t="s">
        <v>1115</v>
      </c>
      <c r="I120" s="5" t="s">
        <v>89</v>
      </c>
      <c r="J120" s="5" t="s">
        <v>195</v>
      </c>
      <c r="K120" s="5" t="s">
        <v>1116</v>
      </c>
      <c r="L120" s="5" t="s">
        <v>32</v>
      </c>
      <c r="M120" s="5" t="s">
        <v>197</v>
      </c>
      <c r="N120" s="5" t="s">
        <v>28</v>
      </c>
      <c r="O120" s="5"/>
      <c r="P120" s="5"/>
    </row>
    <row r="121" customFormat="false" ht="15" hidden="false" customHeight="true" outlineLevel="0" collapsed="false">
      <c r="A121" s="5" t="s">
        <v>1117</v>
      </c>
      <c r="B121" s="5" t="s">
        <v>134</v>
      </c>
      <c r="C121" s="5" t="s">
        <v>99</v>
      </c>
      <c r="D121" s="5" t="s">
        <v>1118</v>
      </c>
      <c r="E121" s="5" t="s">
        <v>1119</v>
      </c>
      <c r="F121" s="5" t="s">
        <v>296</v>
      </c>
      <c r="G121" s="5" t="s">
        <v>1120</v>
      </c>
      <c r="H121" s="5" t="s">
        <v>1121</v>
      </c>
      <c r="I121" s="5" t="s">
        <v>89</v>
      </c>
      <c r="J121" s="5" t="s">
        <v>242</v>
      </c>
      <c r="K121" s="5" t="s">
        <v>1122</v>
      </c>
      <c r="L121" s="5" t="s">
        <v>32</v>
      </c>
      <c r="M121" s="5" t="s">
        <v>197</v>
      </c>
      <c r="N121" s="5" t="s">
        <v>28</v>
      </c>
      <c r="O121" s="5"/>
      <c r="P121" s="5"/>
    </row>
    <row r="122" customFormat="false" ht="27.75" hidden="false" customHeight="true" outlineLevel="0" collapsed="false">
      <c r="A122" s="5" t="s">
        <v>1123</v>
      </c>
      <c r="B122" s="5" t="s">
        <v>134</v>
      </c>
      <c r="C122" s="5" t="s">
        <v>99</v>
      </c>
      <c r="D122" s="5" t="s">
        <v>1124</v>
      </c>
      <c r="E122" s="5" t="s">
        <v>1125</v>
      </c>
      <c r="F122" s="5" t="s">
        <v>296</v>
      </c>
      <c r="G122" s="5" t="s">
        <v>1126</v>
      </c>
      <c r="H122" s="5" t="s">
        <v>1127</v>
      </c>
      <c r="I122" s="5" t="s">
        <v>90</v>
      </c>
      <c r="J122" s="5" t="s">
        <v>210</v>
      </c>
      <c r="K122" s="5"/>
      <c r="L122" s="5" t="s">
        <v>95</v>
      </c>
      <c r="M122" s="5"/>
      <c r="N122" s="5"/>
      <c r="O122" s="5"/>
      <c r="P122" s="5"/>
    </row>
    <row r="123" customFormat="false" ht="27.75" hidden="false" customHeight="true" outlineLevel="0" collapsed="false">
      <c r="A123" s="5" t="s">
        <v>1128</v>
      </c>
      <c r="B123" s="5" t="s">
        <v>135</v>
      </c>
      <c r="C123" s="5" t="s">
        <v>99</v>
      </c>
      <c r="D123" s="5" t="s">
        <v>1129</v>
      </c>
      <c r="E123" s="5" t="s">
        <v>1130</v>
      </c>
      <c r="F123" s="5" t="s">
        <v>296</v>
      </c>
      <c r="G123" s="5" t="s">
        <v>1131</v>
      </c>
      <c r="H123" s="5" t="s">
        <v>1132</v>
      </c>
      <c r="I123" s="5" t="s">
        <v>89</v>
      </c>
      <c r="J123" s="5" t="s">
        <v>195</v>
      </c>
      <c r="K123" s="5" t="s">
        <v>1133</v>
      </c>
      <c r="L123" s="5" t="s">
        <v>32</v>
      </c>
      <c r="M123" s="5" t="s">
        <v>197</v>
      </c>
      <c r="N123" s="5" t="s">
        <v>28</v>
      </c>
      <c r="O123" s="5"/>
      <c r="P123" s="5"/>
    </row>
    <row r="124" customFormat="false" ht="54.75" hidden="false" customHeight="true" outlineLevel="0" collapsed="false">
      <c r="A124" s="5" t="s">
        <v>1134</v>
      </c>
      <c r="B124" s="5" t="s">
        <v>135</v>
      </c>
      <c r="C124" s="5" t="s">
        <v>99</v>
      </c>
      <c r="D124" s="5" t="s">
        <v>1135</v>
      </c>
      <c r="E124" s="5" t="s">
        <v>1136</v>
      </c>
      <c r="F124" s="5" t="s">
        <v>296</v>
      </c>
      <c r="G124" s="5" t="s">
        <v>1137</v>
      </c>
      <c r="H124" s="5" t="s">
        <v>1138</v>
      </c>
      <c r="I124" s="5" t="s">
        <v>89</v>
      </c>
      <c r="J124" s="5" t="s">
        <v>195</v>
      </c>
      <c r="K124" s="5" t="s">
        <v>1139</v>
      </c>
      <c r="L124" s="5" t="s">
        <v>93</v>
      </c>
      <c r="M124" s="5" t="s">
        <v>197</v>
      </c>
      <c r="N124" s="5" t="s">
        <v>28</v>
      </c>
      <c r="O124" s="5"/>
      <c r="P124" s="5"/>
    </row>
    <row r="125" customFormat="false" ht="41.25" hidden="false" customHeight="true" outlineLevel="0" collapsed="false">
      <c r="A125" s="5" t="s">
        <v>1140</v>
      </c>
      <c r="B125" s="5" t="s">
        <v>135</v>
      </c>
      <c r="C125" s="5" t="s">
        <v>99</v>
      </c>
      <c r="D125" s="5" t="s">
        <v>1141</v>
      </c>
      <c r="E125" s="5" t="s">
        <v>1142</v>
      </c>
      <c r="F125" s="5" t="s">
        <v>296</v>
      </c>
      <c r="G125" s="5" t="s">
        <v>1143</v>
      </c>
      <c r="H125" s="5" t="s">
        <v>1144</v>
      </c>
      <c r="I125" s="5" t="s">
        <v>89</v>
      </c>
      <c r="J125" s="5" t="s">
        <v>242</v>
      </c>
      <c r="K125" s="5" t="s">
        <v>1145</v>
      </c>
      <c r="L125" s="5" t="s">
        <v>93</v>
      </c>
      <c r="M125" s="5" t="s">
        <v>197</v>
      </c>
      <c r="N125" s="5" t="s">
        <v>28</v>
      </c>
      <c r="O125" s="5"/>
      <c r="P125" s="5"/>
    </row>
    <row r="126" customFormat="false" ht="27.75" hidden="false" customHeight="true" outlineLevel="0" collapsed="false">
      <c r="A126" s="5" t="s">
        <v>1146</v>
      </c>
      <c r="B126" s="5" t="s">
        <v>135</v>
      </c>
      <c r="C126" s="5" t="s">
        <v>99</v>
      </c>
      <c r="D126" s="5" t="s">
        <v>1147</v>
      </c>
      <c r="E126" s="5" t="s">
        <v>1148</v>
      </c>
      <c r="F126" s="5" t="s">
        <v>296</v>
      </c>
      <c r="G126" s="5" t="s">
        <v>1149</v>
      </c>
      <c r="H126" s="5" t="s">
        <v>1150</v>
      </c>
      <c r="I126" s="5" t="s">
        <v>89</v>
      </c>
      <c r="J126" s="5" t="s">
        <v>195</v>
      </c>
      <c r="K126" s="5" t="s">
        <v>1151</v>
      </c>
      <c r="L126" s="5" t="s">
        <v>93</v>
      </c>
      <c r="M126" s="5" t="s">
        <v>197</v>
      </c>
      <c r="N126" s="5" t="s">
        <v>28</v>
      </c>
      <c r="O126" s="5"/>
      <c r="P126" s="5"/>
    </row>
    <row r="127" customFormat="false" ht="41.25" hidden="false" customHeight="true" outlineLevel="0" collapsed="false">
      <c r="A127" s="5" t="s">
        <v>1152</v>
      </c>
      <c r="B127" s="5" t="s">
        <v>136</v>
      </c>
      <c r="C127" s="5" t="s">
        <v>99</v>
      </c>
      <c r="D127" s="5" t="s">
        <v>1153</v>
      </c>
      <c r="E127" s="5" t="s">
        <v>206</v>
      </c>
      <c r="F127" s="5" t="s">
        <v>296</v>
      </c>
      <c r="G127" s="5" t="s">
        <v>1154</v>
      </c>
      <c r="H127" s="5" t="s">
        <v>1155</v>
      </c>
      <c r="I127" s="5" t="s">
        <v>89</v>
      </c>
      <c r="J127" s="5" t="s">
        <v>195</v>
      </c>
      <c r="K127" s="5" t="s">
        <v>1156</v>
      </c>
      <c r="L127" s="5" t="s">
        <v>32</v>
      </c>
      <c r="M127" s="5" t="s">
        <v>197</v>
      </c>
      <c r="N127" s="5" t="s">
        <v>28</v>
      </c>
      <c r="O127" s="5"/>
      <c r="P127" s="5"/>
    </row>
    <row r="128" customFormat="false" ht="41.25" hidden="false" customHeight="true" outlineLevel="0" collapsed="false">
      <c r="A128" s="5" t="s">
        <v>1157</v>
      </c>
      <c r="B128" s="5" t="s">
        <v>136</v>
      </c>
      <c r="C128" s="5" t="s">
        <v>99</v>
      </c>
      <c r="D128" s="5" t="s">
        <v>1158</v>
      </c>
      <c r="E128" s="5" t="s">
        <v>1159</v>
      </c>
      <c r="F128" s="5" t="s">
        <v>296</v>
      </c>
      <c r="G128" s="5" t="s">
        <v>1160</v>
      </c>
      <c r="H128" s="5" t="s">
        <v>1161</v>
      </c>
      <c r="I128" s="5" t="s">
        <v>89</v>
      </c>
      <c r="J128" s="5" t="s">
        <v>210</v>
      </c>
      <c r="K128" s="5" t="s">
        <v>1162</v>
      </c>
      <c r="L128" s="5" t="s">
        <v>32</v>
      </c>
      <c r="M128" s="5" t="s">
        <v>197</v>
      </c>
      <c r="N128" s="5" t="s">
        <v>28</v>
      </c>
      <c r="O128" s="5"/>
      <c r="P128" s="5"/>
    </row>
    <row r="129" customFormat="false" ht="54.75" hidden="false" customHeight="true" outlineLevel="0" collapsed="false">
      <c r="A129" s="5" t="s">
        <v>1163</v>
      </c>
      <c r="B129" s="5" t="s">
        <v>136</v>
      </c>
      <c r="C129" s="5" t="s">
        <v>99</v>
      </c>
      <c r="D129" s="5" t="s">
        <v>1164</v>
      </c>
      <c r="E129" s="5" t="s">
        <v>1165</v>
      </c>
      <c r="F129" s="5" t="s">
        <v>1166</v>
      </c>
      <c r="G129" s="5" t="s">
        <v>1167</v>
      </c>
      <c r="H129" s="5" t="s">
        <v>1168</v>
      </c>
      <c r="I129" s="5" t="s">
        <v>88</v>
      </c>
      <c r="J129" s="5" t="s">
        <v>195</v>
      </c>
      <c r="K129" s="5" t="s">
        <v>1169</v>
      </c>
      <c r="L129" s="5" t="s">
        <v>32</v>
      </c>
      <c r="M129" s="5" t="s">
        <v>197</v>
      </c>
      <c r="N129" s="5" t="s">
        <v>28</v>
      </c>
      <c r="O129" s="5"/>
      <c r="P129" s="5"/>
    </row>
    <row r="130" customFormat="false" ht="41.25" hidden="false" customHeight="true" outlineLevel="0" collapsed="false">
      <c r="A130" s="5" t="s">
        <v>1170</v>
      </c>
      <c r="B130" s="5" t="s">
        <v>136</v>
      </c>
      <c r="C130" s="5" t="s">
        <v>99</v>
      </c>
      <c r="D130" s="5" t="s">
        <v>1171</v>
      </c>
      <c r="E130" s="5" t="s">
        <v>1172</v>
      </c>
      <c r="F130" s="5" t="s">
        <v>1173</v>
      </c>
      <c r="G130" s="5" t="s">
        <v>1174</v>
      </c>
      <c r="H130" s="5" t="s">
        <v>1175</v>
      </c>
      <c r="I130" s="5" t="s">
        <v>89</v>
      </c>
      <c r="J130" s="5" t="s">
        <v>195</v>
      </c>
      <c r="K130" s="5" t="s">
        <v>1176</v>
      </c>
      <c r="L130" s="5" t="s">
        <v>32</v>
      </c>
      <c r="M130" s="5" t="s">
        <v>197</v>
      </c>
      <c r="N130" s="5" t="s">
        <v>28</v>
      </c>
      <c r="O130" s="5"/>
      <c r="P130" s="5"/>
    </row>
    <row r="131" customFormat="false" ht="27.75" hidden="false" customHeight="true" outlineLevel="0" collapsed="false">
      <c r="A131" s="5" t="s">
        <v>1177</v>
      </c>
      <c r="B131" s="5" t="s">
        <v>136</v>
      </c>
      <c r="C131" s="5" t="s">
        <v>99</v>
      </c>
      <c r="D131" s="5" t="s">
        <v>1178</v>
      </c>
      <c r="E131" s="5" t="s">
        <v>1179</v>
      </c>
      <c r="F131" s="5" t="s">
        <v>1180</v>
      </c>
      <c r="G131" s="5" t="s">
        <v>1181</v>
      </c>
      <c r="H131" s="5" t="s">
        <v>1182</v>
      </c>
      <c r="I131" s="5" t="s">
        <v>89</v>
      </c>
      <c r="J131" s="5" t="s">
        <v>271</v>
      </c>
      <c r="K131" s="5" t="s">
        <v>1183</v>
      </c>
      <c r="L131" s="5" t="s">
        <v>32</v>
      </c>
      <c r="M131" s="5" t="s">
        <v>197</v>
      </c>
      <c r="N131" s="5" t="s">
        <v>28</v>
      </c>
      <c r="O131" s="5"/>
      <c r="P131" s="5"/>
    </row>
    <row r="132" customFormat="false" ht="27.75" hidden="false" customHeight="true" outlineLevel="0" collapsed="false">
      <c r="A132" s="5" t="s">
        <v>1184</v>
      </c>
      <c r="B132" s="5" t="s">
        <v>136</v>
      </c>
      <c r="C132" s="5" t="s">
        <v>99</v>
      </c>
      <c r="D132" s="5" t="s">
        <v>1185</v>
      </c>
      <c r="E132" s="5" t="s">
        <v>1186</v>
      </c>
      <c r="F132" s="5" t="s">
        <v>296</v>
      </c>
      <c r="G132" s="5" t="s">
        <v>1187</v>
      </c>
      <c r="H132" s="5" t="s">
        <v>1188</v>
      </c>
      <c r="I132" s="5" t="s">
        <v>90</v>
      </c>
      <c r="J132" s="5" t="s">
        <v>195</v>
      </c>
      <c r="K132" s="5"/>
      <c r="L132" s="5" t="s">
        <v>95</v>
      </c>
      <c r="M132" s="5"/>
      <c r="N132" s="5"/>
      <c r="O132" s="5"/>
      <c r="P132" s="5"/>
    </row>
    <row r="133" customFormat="false" ht="27.75" hidden="false" customHeight="true" outlineLevel="0" collapsed="false">
      <c r="A133" s="5" t="s">
        <v>1189</v>
      </c>
      <c r="B133" s="5" t="s">
        <v>136</v>
      </c>
      <c r="C133" s="5" t="s">
        <v>99</v>
      </c>
      <c r="D133" s="5" t="s">
        <v>1190</v>
      </c>
      <c r="E133" s="5" t="s">
        <v>400</v>
      </c>
      <c r="F133" s="5" t="s">
        <v>1191</v>
      </c>
      <c r="G133" s="5" t="s">
        <v>1192</v>
      </c>
      <c r="H133" s="5" t="s">
        <v>1193</v>
      </c>
      <c r="I133" s="5" t="s">
        <v>90</v>
      </c>
      <c r="J133" s="5" t="s">
        <v>195</v>
      </c>
      <c r="K133" s="5"/>
      <c r="L133" s="5" t="s">
        <v>95</v>
      </c>
      <c r="M133" s="5"/>
      <c r="N133" s="5"/>
      <c r="O133" s="5"/>
      <c r="P133" s="5"/>
    </row>
    <row r="134" customFormat="false" ht="54.75" hidden="false" customHeight="true" outlineLevel="0" collapsed="false">
      <c r="A134" s="5" t="s">
        <v>1194</v>
      </c>
      <c r="B134" s="5" t="s">
        <v>136</v>
      </c>
      <c r="C134" s="5" t="s">
        <v>99</v>
      </c>
      <c r="D134" s="5" t="s">
        <v>1195</v>
      </c>
      <c r="E134" s="5" t="s">
        <v>1196</v>
      </c>
      <c r="F134" s="5" t="s">
        <v>296</v>
      </c>
      <c r="G134" s="5" t="s">
        <v>1197</v>
      </c>
      <c r="H134" s="5" t="s">
        <v>1198</v>
      </c>
      <c r="I134" s="5" t="s">
        <v>89</v>
      </c>
      <c r="J134" s="5" t="s">
        <v>195</v>
      </c>
      <c r="K134" s="5" t="s">
        <v>1199</v>
      </c>
      <c r="L134" s="5" t="s">
        <v>32</v>
      </c>
      <c r="M134" s="5" t="s">
        <v>197</v>
      </c>
      <c r="N134" s="5" t="s">
        <v>28</v>
      </c>
      <c r="O134" s="5"/>
      <c r="P134" s="5"/>
    </row>
    <row r="135" customFormat="false" ht="27.75" hidden="false" customHeight="true" outlineLevel="0" collapsed="false">
      <c r="A135" s="5" t="s">
        <v>1200</v>
      </c>
      <c r="B135" s="5" t="s">
        <v>136</v>
      </c>
      <c r="C135" s="5" t="s">
        <v>99</v>
      </c>
      <c r="D135" s="5" t="s">
        <v>1201</v>
      </c>
      <c r="E135" s="5" t="s">
        <v>1202</v>
      </c>
      <c r="F135" s="5" t="s">
        <v>296</v>
      </c>
      <c r="G135" s="5" t="s">
        <v>1203</v>
      </c>
      <c r="H135" s="5" t="s">
        <v>1204</v>
      </c>
      <c r="I135" s="5" t="s">
        <v>89</v>
      </c>
      <c r="J135" s="5" t="s">
        <v>195</v>
      </c>
      <c r="K135" s="5" t="s">
        <v>1205</v>
      </c>
      <c r="L135" s="5" t="s">
        <v>32</v>
      </c>
      <c r="M135" s="5" t="s">
        <v>197</v>
      </c>
      <c r="N135" s="5" t="s">
        <v>28</v>
      </c>
      <c r="O135" s="5"/>
      <c r="P135" s="5"/>
    </row>
    <row r="136" customFormat="false" ht="27.75" hidden="false" customHeight="true" outlineLevel="0" collapsed="false">
      <c r="A136" s="5" t="s">
        <v>1206</v>
      </c>
      <c r="B136" s="5" t="s">
        <v>136</v>
      </c>
      <c r="C136" s="5" t="s">
        <v>99</v>
      </c>
      <c r="D136" s="5" t="s">
        <v>1207</v>
      </c>
      <c r="E136" s="5" t="s">
        <v>1208</v>
      </c>
      <c r="F136" s="5" t="s">
        <v>296</v>
      </c>
      <c r="G136" s="5" t="s">
        <v>1209</v>
      </c>
      <c r="H136" s="5" t="s">
        <v>1210</v>
      </c>
      <c r="I136" s="5" t="s">
        <v>89</v>
      </c>
      <c r="J136" s="5" t="s">
        <v>195</v>
      </c>
      <c r="K136" s="5" t="s">
        <v>1211</v>
      </c>
      <c r="L136" s="5" t="s">
        <v>32</v>
      </c>
      <c r="M136" s="5" t="s">
        <v>197</v>
      </c>
      <c r="N136" s="5" t="s">
        <v>28</v>
      </c>
      <c r="O136" s="5"/>
      <c r="P136" s="5"/>
    </row>
    <row r="137" customFormat="false" ht="27.75" hidden="false" customHeight="true" outlineLevel="0" collapsed="false">
      <c r="A137" s="5" t="s">
        <v>1212</v>
      </c>
      <c r="B137" s="5" t="s">
        <v>136</v>
      </c>
      <c r="C137" s="5" t="s">
        <v>99</v>
      </c>
      <c r="D137" s="5" t="s">
        <v>1213</v>
      </c>
      <c r="E137" s="5" t="s">
        <v>1214</v>
      </c>
      <c r="F137" s="5" t="s">
        <v>296</v>
      </c>
      <c r="G137" s="5" t="s">
        <v>1215</v>
      </c>
      <c r="H137" s="5" t="s">
        <v>1216</v>
      </c>
      <c r="I137" s="5" t="s">
        <v>89</v>
      </c>
      <c r="J137" s="5" t="s">
        <v>242</v>
      </c>
      <c r="K137" s="5" t="s">
        <v>1217</v>
      </c>
      <c r="L137" s="5" t="s">
        <v>32</v>
      </c>
      <c r="M137" s="5" t="s">
        <v>197</v>
      </c>
      <c r="N137" s="5" t="s">
        <v>28</v>
      </c>
      <c r="O137" s="5" t="s">
        <v>1218</v>
      </c>
      <c r="P137" s="5"/>
    </row>
    <row r="138" customFormat="false" ht="27.75" hidden="false" customHeight="true" outlineLevel="0" collapsed="false">
      <c r="A138" s="5" t="s">
        <v>1219</v>
      </c>
      <c r="B138" s="5" t="s">
        <v>136</v>
      </c>
      <c r="C138" s="5" t="s">
        <v>99</v>
      </c>
      <c r="D138" s="5" t="s">
        <v>1220</v>
      </c>
      <c r="E138" s="5" t="s">
        <v>1221</v>
      </c>
      <c r="F138" s="5" t="s">
        <v>296</v>
      </c>
      <c r="G138" s="5" t="s">
        <v>1222</v>
      </c>
      <c r="H138" s="5" t="s">
        <v>1223</v>
      </c>
      <c r="I138" s="5" t="s">
        <v>89</v>
      </c>
      <c r="J138" s="5" t="s">
        <v>195</v>
      </c>
      <c r="K138" s="5" t="s">
        <v>1224</v>
      </c>
      <c r="L138" s="5" t="s">
        <v>32</v>
      </c>
      <c r="M138" s="5" t="s">
        <v>197</v>
      </c>
      <c r="N138" s="5" t="s">
        <v>28</v>
      </c>
      <c r="O138" s="5"/>
      <c r="P138" s="5"/>
    </row>
    <row r="139" customFormat="false" ht="41.25" hidden="false" customHeight="true" outlineLevel="0" collapsed="false">
      <c r="A139" s="5" t="s">
        <v>1225</v>
      </c>
      <c r="B139" s="5" t="s">
        <v>136</v>
      </c>
      <c r="C139" s="5" t="s">
        <v>99</v>
      </c>
      <c r="D139" s="5" t="s">
        <v>1226</v>
      </c>
      <c r="E139" s="5" t="s">
        <v>1227</v>
      </c>
      <c r="F139" s="5" t="s">
        <v>1228</v>
      </c>
      <c r="G139" s="5" t="s">
        <v>1229</v>
      </c>
      <c r="H139" s="5" t="s">
        <v>1230</v>
      </c>
      <c r="I139" s="5" t="s">
        <v>90</v>
      </c>
      <c r="J139" s="5" t="s">
        <v>195</v>
      </c>
      <c r="K139" s="5"/>
      <c r="L139" s="5" t="s">
        <v>95</v>
      </c>
      <c r="M139" s="5"/>
      <c r="N139" s="5"/>
      <c r="O139" s="5"/>
      <c r="P139" s="5"/>
    </row>
    <row r="140" customFormat="false" ht="68.25" hidden="false" customHeight="true" outlineLevel="0" collapsed="false">
      <c r="A140" s="5" t="s">
        <v>1231</v>
      </c>
      <c r="B140" s="5" t="s">
        <v>136</v>
      </c>
      <c r="C140" s="5" t="s">
        <v>99</v>
      </c>
      <c r="D140" s="5" t="s">
        <v>1232</v>
      </c>
      <c r="E140" s="5" t="s">
        <v>1233</v>
      </c>
      <c r="F140" s="5" t="s">
        <v>296</v>
      </c>
      <c r="G140" s="5" t="s">
        <v>1234</v>
      </c>
      <c r="H140" s="5" t="s">
        <v>1235</v>
      </c>
      <c r="I140" s="5" t="s">
        <v>88</v>
      </c>
      <c r="J140" s="5" t="s">
        <v>210</v>
      </c>
      <c r="K140" s="5" t="s">
        <v>1236</v>
      </c>
      <c r="L140" s="5" t="s">
        <v>32</v>
      </c>
      <c r="M140" s="5" t="s">
        <v>197</v>
      </c>
      <c r="N140" s="5" t="s">
        <v>28</v>
      </c>
      <c r="O140" s="5"/>
      <c r="P140" s="5"/>
    </row>
    <row r="141" customFormat="false" ht="54.75" hidden="false" customHeight="true" outlineLevel="0" collapsed="false">
      <c r="A141" s="5" t="s">
        <v>1237</v>
      </c>
      <c r="B141" s="5" t="s">
        <v>136</v>
      </c>
      <c r="C141" s="5" t="s">
        <v>99</v>
      </c>
      <c r="D141" s="5" t="s">
        <v>1238</v>
      </c>
      <c r="E141" s="5" t="s">
        <v>1239</v>
      </c>
      <c r="F141" s="5" t="s">
        <v>757</v>
      </c>
      <c r="G141" s="5" t="s">
        <v>1240</v>
      </c>
      <c r="H141" s="5" t="s">
        <v>1241</v>
      </c>
      <c r="I141" s="5" t="s">
        <v>88</v>
      </c>
      <c r="J141" s="5" t="s">
        <v>271</v>
      </c>
      <c r="K141" s="5" t="s">
        <v>1242</v>
      </c>
      <c r="L141" s="5" t="s">
        <v>32</v>
      </c>
      <c r="M141" s="5" t="s">
        <v>197</v>
      </c>
      <c r="N141" s="5" t="s">
        <v>28</v>
      </c>
      <c r="O141" s="5"/>
      <c r="P141" s="5"/>
    </row>
    <row r="142" customFormat="false" ht="27.75" hidden="false" customHeight="true" outlineLevel="0" collapsed="false">
      <c r="A142" s="5" t="s">
        <v>1243</v>
      </c>
      <c r="B142" s="5" t="s">
        <v>136</v>
      </c>
      <c r="C142" s="5" t="s">
        <v>99</v>
      </c>
      <c r="D142" s="5" t="s">
        <v>1244</v>
      </c>
      <c r="E142" s="5" t="s">
        <v>1245</v>
      </c>
      <c r="F142" s="5" t="s">
        <v>1246</v>
      </c>
      <c r="G142" s="5" t="s">
        <v>1247</v>
      </c>
      <c r="H142" s="5" t="s">
        <v>1248</v>
      </c>
      <c r="I142" s="5" t="s">
        <v>90</v>
      </c>
      <c r="J142" s="5" t="s">
        <v>185</v>
      </c>
      <c r="K142" s="5"/>
      <c r="L142" s="5" t="s">
        <v>95</v>
      </c>
      <c r="M142" s="5"/>
      <c r="N142" s="5"/>
      <c r="O142" s="5"/>
      <c r="P142" s="5"/>
    </row>
    <row r="143" customFormat="false" ht="41.25" hidden="false" customHeight="true" outlineLevel="0" collapsed="false">
      <c r="A143" s="5" t="s">
        <v>1249</v>
      </c>
      <c r="B143" s="5" t="s">
        <v>136</v>
      </c>
      <c r="C143" s="5" t="s">
        <v>99</v>
      </c>
      <c r="D143" s="5" t="s">
        <v>1250</v>
      </c>
      <c r="E143" s="5" t="s">
        <v>1251</v>
      </c>
      <c r="F143" s="5" t="s">
        <v>1252</v>
      </c>
      <c r="G143" s="5" t="s">
        <v>1253</v>
      </c>
      <c r="H143" s="5" t="s">
        <v>1254</v>
      </c>
      <c r="I143" s="5" t="s">
        <v>90</v>
      </c>
      <c r="J143" s="5" t="s">
        <v>195</v>
      </c>
      <c r="K143" s="5"/>
      <c r="L143" s="5" t="s">
        <v>95</v>
      </c>
      <c r="M143" s="5"/>
      <c r="N143" s="5"/>
      <c r="O143" s="5"/>
      <c r="P143" s="5"/>
    </row>
    <row r="144" customFormat="false" ht="27.75" hidden="false" customHeight="true" outlineLevel="0" collapsed="false">
      <c r="A144" s="5" t="s">
        <v>1255</v>
      </c>
      <c r="B144" s="5" t="s">
        <v>136</v>
      </c>
      <c r="C144" s="5" t="s">
        <v>99</v>
      </c>
      <c r="D144" s="5" t="s">
        <v>1256</v>
      </c>
      <c r="E144" s="5" t="s">
        <v>1257</v>
      </c>
      <c r="F144" s="5" t="s">
        <v>296</v>
      </c>
      <c r="G144" s="5" t="s">
        <v>1258</v>
      </c>
      <c r="H144" s="5" t="s">
        <v>1259</v>
      </c>
      <c r="I144" s="5" t="s">
        <v>90</v>
      </c>
      <c r="J144" s="5" t="s">
        <v>195</v>
      </c>
      <c r="K144" s="5"/>
      <c r="L144" s="5" t="s">
        <v>95</v>
      </c>
      <c r="M144" s="5"/>
      <c r="N144" s="5"/>
      <c r="O144" s="5"/>
      <c r="P144" s="5"/>
    </row>
    <row r="145" customFormat="false" ht="27.75" hidden="false" customHeight="true" outlineLevel="0" collapsed="false">
      <c r="A145" s="5" t="s">
        <v>1260</v>
      </c>
      <c r="B145" s="5" t="s">
        <v>136</v>
      </c>
      <c r="C145" s="5" t="s">
        <v>99</v>
      </c>
      <c r="D145" s="5" t="s">
        <v>1261</v>
      </c>
      <c r="E145" s="5" t="s">
        <v>1262</v>
      </c>
      <c r="F145" s="5" t="s">
        <v>1263</v>
      </c>
      <c r="G145" s="5" t="s">
        <v>1264</v>
      </c>
      <c r="H145" s="5" t="s">
        <v>1265</v>
      </c>
      <c r="I145" s="5" t="s">
        <v>90</v>
      </c>
      <c r="J145" s="5" t="s">
        <v>271</v>
      </c>
      <c r="K145" s="5"/>
      <c r="L145" s="5" t="s">
        <v>95</v>
      </c>
      <c r="M145" s="5"/>
      <c r="N145" s="5"/>
      <c r="O145" s="5"/>
      <c r="P145" s="5"/>
    </row>
    <row r="146" customFormat="false" ht="27.75" hidden="false" customHeight="true" outlineLevel="0" collapsed="false">
      <c r="A146" s="5" t="s">
        <v>1266</v>
      </c>
      <c r="B146" s="5" t="s">
        <v>136</v>
      </c>
      <c r="C146" s="5" t="s">
        <v>99</v>
      </c>
      <c r="D146" s="5" t="s">
        <v>1267</v>
      </c>
      <c r="E146" s="5" t="s">
        <v>1268</v>
      </c>
      <c r="F146" s="5" t="s">
        <v>1269</v>
      </c>
      <c r="G146" s="5" t="s">
        <v>1270</v>
      </c>
      <c r="H146" s="5" t="s">
        <v>1271</v>
      </c>
      <c r="I146" s="5" t="s">
        <v>90</v>
      </c>
      <c r="J146" s="5" t="s">
        <v>1272</v>
      </c>
      <c r="K146" s="5"/>
      <c r="L146" s="5" t="s">
        <v>95</v>
      </c>
      <c r="M146" s="5"/>
      <c r="N146" s="5"/>
      <c r="O146" s="5"/>
      <c r="P146" s="5"/>
    </row>
    <row r="147" customFormat="false" ht="27.75" hidden="false" customHeight="true" outlineLevel="0" collapsed="false">
      <c r="A147" s="5" t="s">
        <v>1273</v>
      </c>
      <c r="B147" s="5" t="s">
        <v>136</v>
      </c>
      <c r="C147" s="5" t="s">
        <v>99</v>
      </c>
      <c r="D147" s="5" t="s">
        <v>1274</v>
      </c>
      <c r="E147" s="5" t="s">
        <v>1275</v>
      </c>
      <c r="F147" s="5" t="s">
        <v>296</v>
      </c>
      <c r="G147" s="5" t="s">
        <v>1270</v>
      </c>
      <c r="H147" s="5" t="s">
        <v>1276</v>
      </c>
      <c r="I147" s="5" t="s">
        <v>90</v>
      </c>
      <c r="J147" s="5" t="s">
        <v>195</v>
      </c>
      <c r="K147" s="5"/>
      <c r="L147" s="5" t="s">
        <v>95</v>
      </c>
      <c r="M147" s="5"/>
      <c r="N147" s="5"/>
      <c r="O147" s="5"/>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54.75" hidden="false" customHeight="true" outlineLevel="0" collapsed="false">
      <c r="A2" s="5" t="s">
        <v>1277</v>
      </c>
      <c r="B2" s="5" t="s">
        <v>137</v>
      </c>
      <c r="C2" s="5" t="s">
        <v>100</v>
      </c>
      <c r="D2" s="5" t="s">
        <v>1278</v>
      </c>
      <c r="E2" s="5" t="s">
        <v>1279</v>
      </c>
      <c r="F2" s="5" t="s">
        <v>1280</v>
      </c>
      <c r="G2" s="5" t="s">
        <v>1281</v>
      </c>
      <c r="H2" s="5" t="s">
        <v>1282</v>
      </c>
      <c r="I2" s="5" t="s">
        <v>88</v>
      </c>
      <c r="J2" s="5" t="s">
        <v>195</v>
      </c>
      <c r="K2" s="5" t="s">
        <v>1283</v>
      </c>
      <c r="L2" s="5" t="s">
        <v>32</v>
      </c>
      <c r="M2" s="5" t="s">
        <v>197</v>
      </c>
      <c r="N2" s="5" t="s">
        <v>28</v>
      </c>
      <c r="O2" s="5"/>
      <c r="P2" s="5"/>
    </row>
    <row r="3" customFormat="false" ht="27.75" hidden="false" customHeight="true" outlineLevel="0" collapsed="false">
      <c r="A3" s="5" t="s">
        <v>1284</v>
      </c>
      <c r="B3" s="5" t="s">
        <v>137</v>
      </c>
      <c r="C3" s="5" t="s">
        <v>100</v>
      </c>
      <c r="D3" s="5" t="s">
        <v>1285</v>
      </c>
      <c r="E3" s="5" t="s">
        <v>1286</v>
      </c>
      <c r="F3" s="5" t="s">
        <v>1287</v>
      </c>
      <c r="G3" s="5" t="s">
        <v>1288</v>
      </c>
      <c r="H3" s="5" t="s">
        <v>1289</v>
      </c>
      <c r="I3" s="5" t="s">
        <v>88</v>
      </c>
      <c r="J3" s="5" t="s">
        <v>218</v>
      </c>
      <c r="K3" s="5" t="s">
        <v>1290</v>
      </c>
      <c r="L3" s="5" t="s">
        <v>32</v>
      </c>
      <c r="M3" s="5" t="s">
        <v>197</v>
      </c>
      <c r="N3" s="5" t="s">
        <v>28</v>
      </c>
      <c r="O3" s="5"/>
      <c r="P3" s="5"/>
    </row>
    <row r="4" customFormat="false" ht="27.75" hidden="false" customHeight="true" outlineLevel="0" collapsed="false">
      <c r="A4" s="5" t="s">
        <v>1291</v>
      </c>
      <c r="B4" s="5" t="s">
        <v>137</v>
      </c>
      <c r="C4" s="5" t="s">
        <v>100</v>
      </c>
      <c r="D4" s="5" t="s">
        <v>1292</v>
      </c>
      <c r="E4" s="5" t="s">
        <v>750</v>
      </c>
      <c r="F4" s="5" t="s">
        <v>1293</v>
      </c>
      <c r="G4" s="5" t="s">
        <v>1294</v>
      </c>
      <c r="H4" s="5" t="s">
        <v>1295</v>
      </c>
      <c r="I4" s="5" t="s">
        <v>89</v>
      </c>
      <c r="J4" s="5" t="s">
        <v>218</v>
      </c>
      <c r="K4" s="5"/>
      <c r="L4" s="5" t="s">
        <v>95</v>
      </c>
      <c r="M4" s="5"/>
      <c r="N4" s="5"/>
      <c r="O4" s="5"/>
      <c r="P4" s="5"/>
    </row>
    <row r="5" customFormat="false" ht="27.75" hidden="false" customHeight="true" outlineLevel="0" collapsed="false">
      <c r="A5" s="5" t="s">
        <v>1296</v>
      </c>
      <c r="B5" s="5" t="s">
        <v>137</v>
      </c>
      <c r="C5" s="5" t="s">
        <v>100</v>
      </c>
      <c r="D5" s="5" t="s">
        <v>1297</v>
      </c>
      <c r="E5" s="5" t="s">
        <v>750</v>
      </c>
      <c r="F5" s="5" t="s">
        <v>1298</v>
      </c>
      <c r="G5" s="5" t="s">
        <v>1299</v>
      </c>
      <c r="H5" s="5" t="s">
        <v>1300</v>
      </c>
      <c r="I5" s="5" t="s">
        <v>89</v>
      </c>
      <c r="J5" s="5" t="s">
        <v>218</v>
      </c>
      <c r="K5" s="5"/>
      <c r="L5" s="5" t="s">
        <v>95</v>
      </c>
      <c r="M5" s="5"/>
      <c r="N5" s="5"/>
      <c r="O5" s="5"/>
      <c r="P5" s="5"/>
    </row>
    <row r="6" customFormat="false" ht="41.25" hidden="false" customHeight="true" outlineLevel="0" collapsed="false">
      <c r="A6" s="5" t="s">
        <v>1301</v>
      </c>
      <c r="B6" s="5" t="s">
        <v>137</v>
      </c>
      <c r="C6" s="5" t="s">
        <v>100</v>
      </c>
      <c r="D6" s="5" t="s">
        <v>1302</v>
      </c>
      <c r="E6" s="5" t="s">
        <v>1303</v>
      </c>
      <c r="F6" s="5" t="s">
        <v>1304</v>
      </c>
      <c r="G6" s="5" t="s">
        <v>1305</v>
      </c>
      <c r="H6" s="5" t="s">
        <v>1306</v>
      </c>
      <c r="I6" s="5" t="s">
        <v>88</v>
      </c>
      <c r="J6" s="5" t="s">
        <v>195</v>
      </c>
      <c r="K6" s="5" t="s">
        <v>1307</v>
      </c>
      <c r="L6" s="5" t="s">
        <v>32</v>
      </c>
      <c r="M6" s="5" t="s">
        <v>197</v>
      </c>
      <c r="N6" s="5" t="s">
        <v>28</v>
      </c>
      <c r="O6" s="5"/>
      <c r="P6" s="5"/>
    </row>
    <row r="7" customFormat="false" ht="27.75" hidden="false" customHeight="true" outlineLevel="0" collapsed="false">
      <c r="A7" s="5" t="s">
        <v>1308</v>
      </c>
      <c r="B7" s="5" t="s">
        <v>137</v>
      </c>
      <c r="C7" s="5" t="s">
        <v>100</v>
      </c>
      <c r="D7" s="5" t="s">
        <v>1309</v>
      </c>
      <c r="E7" s="5" t="s">
        <v>750</v>
      </c>
      <c r="F7" s="5" t="s">
        <v>1310</v>
      </c>
      <c r="G7" s="5" t="s">
        <v>1311</v>
      </c>
      <c r="H7" s="5" t="s">
        <v>1312</v>
      </c>
      <c r="I7" s="5" t="s">
        <v>89</v>
      </c>
      <c r="J7" s="5" t="s">
        <v>195</v>
      </c>
      <c r="K7" s="5"/>
      <c r="L7" s="5" t="s">
        <v>95</v>
      </c>
      <c r="M7" s="5"/>
      <c r="N7" s="5"/>
      <c r="O7" s="5"/>
      <c r="P7" s="5"/>
    </row>
    <row r="8" customFormat="false" ht="27.75" hidden="false" customHeight="true" outlineLevel="0" collapsed="false">
      <c r="A8" s="5" t="s">
        <v>1313</v>
      </c>
      <c r="B8" s="5" t="s">
        <v>137</v>
      </c>
      <c r="C8" s="5" t="s">
        <v>100</v>
      </c>
      <c r="D8" s="5" t="s">
        <v>1314</v>
      </c>
      <c r="E8" s="5" t="s">
        <v>750</v>
      </c>
      <c r="F8" s="5" t="s">
        <v>1315</v>
      </c>
      <c r="G8" s="5" t="s">
        <v>545</v>
      </c>
      <c r="H8" s="5" t="s">
        <v>1316</v>
      </c>
      <c r="I8" s="5" t="s">
        <v>89</v>
      </c>
      <c r="J8" s="5" t="s">
        <v>242</v>
      </c>
      <c r="K8" s="5"/>
      <c r="L8" s="5" t="s">
        <v>95</v>
      </c>
      <c r="M8" s="5"/>
      <c r="N8" s="5"/>
      <c r="O8" s="5"/>
      <c r="P8" s="5"/>
    </row>
    <row r="9" customFormat="false" ht="27.75" hidden="false" customHeight="true" outlineLevel="0" collapsed="false">
      <c r="A9" s="5" t="s">
        <v>1317</v>
      </c>
      <c r="B9" s="5" t="s">
        <v>137</v>
      </c>
      <c r="C9" s="5" t="s">
        <v>100</v>
      </c>
      <c r="D9" s="5" t="s">
        <v>1318</v>
      </c>
      <c r="E9" s="5" t="s">
        <v>750</v>
      </c>
      <c r="F9" s="5" t="s">
        <v>1319</v>
      </c>
      <c r="G9" s="5" t="s">
        <v>1320</v>
      </c>
      <c r="H9" s="5" t="s">
        <v>1321</v>
      </c>
      <c r="I9" s="5" t="s">
        <v>89</v>
      </c>
      <c r="J9" s="5" t="s">
        <v>271</v>
      </c>
      <c r="K9" s="5"/>
      <c r="L9" s="5" t="s">
        <v>95</v>
      </c>
      <c r="M9" s="5"/>
      <c r="N9" s="5"/>
      <c r="O9" s="5"/>
      <c r="P9" s="5"/>
    </row>
    <row r="10" customFormat="false" ht="41.25" hidden="false" customHeight="true" outlineLevel="0" collapsed="false">
      <c r="A10" s="5" t="s">
        <v>1322</v>
      </c>
      <c r="B10" s="5" t="s">
        <v>138</v>
      </c>
      <c r="C10" s="5" t="s">
        <v>100</v>
      </c>
      <c r="D10" s="5" t="s">
        <v>1323</v>
      </c>
      <c r="E10" s="5" t="s">
        <v>1324</v>
      </c>
      <c r="F10" s="5" t="s">
        <v>1325</v>
      </c>
      <c r="G10" s="5" t="s">
        <v>1326</v>
      </c>
      <c r="H10" s="5" t="s">
        <v>1327</v>
      </c>
      <c r="I10" s="5" t="s">
        <v>88</v>
      </c>
      <c r="J10" s="5" t="s">
        <v>195</v>
      </c>
      <c r="K10" s="5" t="s">
        <v>1328</v>
      </c>
      <c r="L10" s="5" t="s">
        <v>32</v>
      </c>
      <c r="M10" s="5" t="s">
        <v>197</v>
      </c>
      <c r="N10" s="5" t="s">
        <v>28</v>
      </c>
      <c r="O10" s="5"/>
      <c r="P10" s="5"/>
    </row>
    <row r="11" customFormat="false" ht="27.75" hidden="false" customHeight="true" outlineLevel="0" collapsed="false">
      <c r="A11" s="5" t="s">
        <v>1329</v>
      </c>
      <c r="B11" s="5" t="s">
        <v>138</v>
      </c>
      <c r="C11" s="5" t="s">
        <v>100</v>
      </c>
      <c r="D11" s="5" t="s">
        <v>1330</v>
      </c>
      <c r="E11" s="5" t="s">
        <v>1331</v>
      </c>
      <c r="F11" s="5" t="s">
        <v>296</v>
      </c>
      <c r="G11" s="5" t="s">
        <v>1332</v>
      </c>
      <c r="H11" s="5" t="s">
        <v>1333</v>
      </c>
      <c r="I11" s="5" t="s">
        <v>88</v>
      </c>
      <c r="J11" s="5" t="s">
        <v>185</v>
      </c>
      <c r="K11" s="5" t="s">
        <v>1334</v>
      </c>
      <c r="L11" s="5" t="s">
        <v>32</v>
      </c>
      <c r="M11" s="5" t="s">
        <v>197</v>
      </c>
      <c r="N11" s="5" t="s">
        <v>28</v>
      </c>
      <c r="O11" s="5"/>
      <c r="P11" s="5"/>
    </row>
    <row r="12" customFormat="false" ht="27.75" hidden="false" customHeight="true" outlineLevel="0" collapsed="false">
      <c r="A12" s="5" t="s">
        <v>1335</v>
      </c>
      <c r="B12" s="5" t="s">
        <v>138</v>
      </c>
      <c r="C12" s="5" t="s">
        <v>100</v>
      </c>
      <c r="D12" s="5" t="s">
        <v>1336</v>
      </c>
      <c r="E12" s="5" t="s">
        <v>1337</v>
      </c>
      <c r="F12" s="5" t="s">
        <v>1338</v>
      </c>
      <c r="G12" s="5" t="s">
        <v>1339</v>
      </c>
      <c r="H12" s="5" t="s">
        <v>1340</v>
      </c>
      <c r="I12" s="5" t="s">
        <v>89</v>
      </c>
      <c r="J12" s="5" t="s">
        <v>218</v>
      </c>
      <c r="K12" s="5"/>
      <c r="L12" s="5" t="s">
        <v>95</v>
      </c>
      <c r="M12" s="5"/>
      <c r="N12" s="5"/>
      <c r="O12" s="5"/>
      <c r="P12" s="5"/>
    </row>
    <row r="13" customFormat="false" ht="27.75" hidden="false" customHeight="true" outlineLevel="0" collapsed="false">
      <c r="A13" s="5" t="s">
        <v>1341</v>
      </c>
      <c r="B13" s="5" t="s">
        <v>138</v>
      </c>
      <c r="C13" s="5" t="s">
        <v>100</v>
      </c>
      <c r="D13" s="5" t="s">
        <v>1342</v>
      </c>
      <c r="E13" s="5" t="s">
        <v>1343</v>
      </c>
      <c r="F13" s="5" t="s">
        <v>1344</v>
      </c>
      <c r="G13" s="5" t="s">
        <v>1345</v>
      </c>
      <c r="H13" s="5" t="s">
        <v>1346</v>
      </c>
      <c r="I13" s="5" t="s">
        <v>89</v>
      </c>
      <c r="J13" s="5" t="s">
        <v>185</v>
      </c>
      <c r="K13" s="5"/>
      <c r="L13" s="5" t="s">
        <v>95</v>
      </c>
      <c r="M13" s="5"/>
      <c r="N13" s="5"/>
      <c r="O13" s="5"/>
      <c r="P13" s="5"/>
    </row>
    <row r="14" customFormat="false" ht="27.75" hidden="false" customHeight="true" outlineLevel="0" collapsed="false">
      <c r="A14" s="5" t="s">
        <v>1347</v>
      </c>
      <c r="B14" s="5" t="s">
        <v>138</v>
      </c>
      <c r="C14" s="5" t="s">
        <v>100</v>
      </c>
      <c r="D14" s="5" t="s">
        <v>1348</v>
      </c>
      <c r="E14" s="5" t="s">
        <v>1349</v>
      </c>
      <c r="F14" s="5" t="s">
        <v>296</v>
      </c>
      <c r="G14" s="5" t="s">
        <v>1350</v>
      </c>
      <c r="H14" s="5" t="s">
        <v>1351</v>
      </c>
      <c r="I14" s="5" t="s">
        <v>88</v>
      </c>
      <c r="J14" s="5" t="s">
        <v>271</v>
      </c>
      <c r="K14" s="5" t="s">
        <v>1352</v>
      </c>
      <c r="L14" s="5" t="s">
        <v>32</v>
      </c>
      <c r="M14" s="5" t="s">
        <v>197</v>
      </c>
      <c r="N14" s="5" t="s">
        <v>28</v>
      </c>
      <c r="O14" s="5"/>
      <c r="P14" s="5"/>
    </row>
    <row r="15" customFormat="false" ht="68.25" hidden="false" customHeight="true" outlineLevel="0" collapsed="false">
      <c r="A15" s="5" t="s">
        <v>1353</v>
      </c>
      <c r="B15" s="5" t="s">
        <v>139</v>
      </c>
      <c r="C15" s="5" t="s">
        <v>100</v>
      </c>
      <c r="D15" s="5" t="s">
        <v>1354</v>
      </c>
      <c r="E15" s="5" t="s">
        <v>750</v>
      </c>
      <c r="F15" s="5" t="s">
        <v>1355</v>
      </c>
      <c r="G15" s="5" t="s">
        <v>1356</v>
      </c>
      <c r="H15" s="5" t="s">
        <v>1357</v>
      </c>
      <c r="I15" s="5" t="s">
        <v>88</v>
      </c>
      <c r="J15" s="5" t="s">
        <v>195</v>
      </c>
      <c r="K15" s="5" t="s">
        <v>1358</v>
      </c>
      <c r="L15" s="5" t="s">
        <v>32</v>
      </c>
      <c r="M15" s="5" t="s">
        <v>197</v>
      </c>
      <c r="N15" s="5" t="s">
        <v>28</v>
      </c>
      <c r="O15" s="5"/>
      <c r="P15" s="5"/>
    </row>
    <row r="16" customFormat="false" ht="27.75" hidden="false" customHeight="true" outlineLevel="0" collapsed="false">
      <c r="A16" s="5" t="s">
        <v>1359</v>
      </c>
      <c r="B16" s="5" t="s">
        <v>139</v>
      </c>
      <c r="C16" s="5" t="s">
        <v>100</v>
      </c>
      <c r="D16" s="5" t="s">
        <v>1360</v>
      </c>
      <c r="E16" s="5" t="s">
        <v>750</v>
      </c>
      <c r="F16" s="5" t="s">
        <v>1361</v>
      </c>
      <c r="G16" s="5" t="s">
        <v>1362</v>
      </c>
      <c r="H16" s="5" t="s">
        <v>1363</v>
      </c>
      <c r="I16" s="5" t="s">
        <v>88</v>
      </c>
      <c r="J16" s="5" t="s">
        <v>195</v>
      </c>
      <c r="K16" s="5" t="s">
        <v>1364</v>
      </c>
      <c r="L16" s="5" t="s">
        <v>32</v>
      </c>
      <c r="M16" s="5" t="s">
        <v>197</v>
      </c>
      <c r="N16" s="5" t="s">
        <v>28</v>
      </c>
      <c r="O16" s="5" t="s">
        <v>1365</v>
      </c>
      <c r="P16" s="5"/>
    </row>
    <row r="17" customFormat="false" ht="41.25" hidden="false" customHeight="true" outlineLevel="0" collapsed="false">
      <c r="A17" s="5" t="s">
        <v>1366</v>
      </c>
      <c r="B17" s="5" t="s">
        <v>139</v>
      </c>
      <c r="C17" s="5" t="s">
        <v>100</v>
      </c>
      <c r="D17" s="5" t="s">
        <v>1367</v>
      </c>
      <c r="E17" s="5" t="s">
        <v>750</v>
      </c>
      <c r="F17" s="5" t="s">
        <v>1368</v>
      </c>
      <c r="G17" s="5" t="s">
        <v>1369</v>
      </c>
      <c r="H17" s="5" t="s">
        <v>1370</v>
      </c>
      <c r="I17" s="5" t="s">
        <v>88</v>
      </c>
      <c r="J17" s="5" t="s">
        <v>218</v>
      </c>
      <c r="K17" s="5" t="s">
        <v>1371</v>
      </c>
      <c r="L17" s="5" t="s">
        <v>32</v>
      </c>
      <c r="M17" s="5" t="s">
        <v>197</v>
      </c>
      <c r="N17" s="5" t="s">
        <v>28</v>
      </c>
      <c r="O17" s="5"/>
      <c r="P17" s="5"/>
    </row>
    <row r="18" customFormat="false" ht="27.75" hidden="false" customHeight="true" outlineLevel="0" collapsed="false">
      <c r="A18" s="5" t="s">
        <v>1372</v>
      </c>
      <c r="B18" s="5" t="s">
        <v>139</v>
      </c>
      <c r="C18" s="5" t="s">
        <v>100</v>
      </c>
      <c r="D18" s="5" t="s">
        <v>1373</v>
      </c>
      <c r="E18" s="5" t="s">
        <v>750</v>
      </c>
      <c r="F18" s="5" t="s">
        <v>1374</v>
      </c>
      <c r="G18" s="5" t="s">
        <v>1375</v>
      </c>
      <c r="H18" s="5" t="s">
        <v>1376</v>
      </c>
      <c r="I18" s="5" t="s">
        <v>88</v>
      </c>
      <c r="J18" s="5" t="s">
        <v>242</v>
      </c>
      <c r="K18" s="5" t="s">
        <v>1377</v>
      </c>
      <c r="L18" s="5" t="s">
        <v>32</v>
      </c>
      <c r="M18" s="5" t="s">
        <v>197</v>
      </c>
      <c r="N18" s="5" t="s">
        <v>28</v>
      </c>
      <c r="O18" s="5"/>
      <c r="P18" s="5"/>
    </row>
    <row r="19" customFormat="false" ht="27.75" hidden="false" customHeight="true" outlineLevel="0" collapsed="false">
      <c r="A19" s="5" t="s">
        <v>1378</v>
      </c>
      <c r="B19" s="5" t="s">
        <v>139</v>
      </c>
      <c r="C19" s="5" t="s">
        <v>100</v>
      </c>
      <c r="D19" s="5" t="s">
        <v>1379</v>
      </c>
      <c r="E19" s="5" t="s">
        <v>750</v>
      </c>
      <c r="F19" s="5" t="s">
        <v>1380</v>
      </c>
      <c r="G19" s="5" t="s">
        <v>1381</v>
      </c>
      <c r="H19" s="5" t="s">
        <v>1382</v>
      </c>
      <c r="I19" s="5" t="s">
        <v>88</v>
      </c>
      <c r="J19" s="5" t="s">
        <v>242</v>
      </c>
      <c r="K19" s="5" t="s">
        <v>1383</v>
      </c>
      <c r="L19" s="5" t="s">
        <v>32</v>
      </c>
      <c r="M19" s="5" t="s">
        <v>197</v>
      </c>
      <c r="N19" s="5" t="s">
        <v>28</v>
      </c>
      <c r="O19" s="5"/>
      <c r="P19" s="5"/>
    </row>
    <row r="20" customFormat="false" ht="27.75" hidden="false" customHeight="true" outlineLevel="0" collapsed="false">
      <c r="A20" s="5" t="s">
        <v>1384</v>
      </c>
      <c r="B20" s="5" t="s">
        <v>139</v>
      </c>
      <c r="C20" s="5" t="s">
        <v>100</v>
      </c>
      <c r="D20" s="5" t="s">
        <v>1385</v>
      </c>
      <c r="E20" s="5" t="s">
        <v>750</v>
      </c>
      <c r="F20" s="5" t="s">
        <v>1386</v>
      </c>
      <c r="G20" s="5" t="s">
        <v>1387</v>
      </c>
      <c r="H20" s="5" t="s">
        <v>1388</v>
      </c>
      <c r="I20" s="5" t="s">
        <v>88</v>
      </c>
      <c r="J20" s="5" t="s">
        <v>218</v>
      </c>
      <c r="K20" s="5" t="s">
        <v>1389</v>
      </c>
      <c r="L20" s="5" t="s">
        <v>32</v>
      </c>
      <c r="M20" s="5" t="s">
        <v>197</v>
      </c>
      <c r="N20" s="5" t="s">
        <v>28</v>
      </c>
      <c r="O20" s="5"/>
      <c r="P20" s="5"/>
    </row>
    <row r="21" customFormat="false" ht="27.75" hidden="false" customHeight="true" outlineLevel="0" collapsed="false">
      <c r="A21" s="5" t="s">
        <v>1390</v>
      </c>
      <c r="B21" s="5" t="s">
        <v>139</v>
      </c>
      <c r="C21" s="5" t="s">
        <v>100</v>
      </c>
      <c r="D21" s="5" t="s">
        <v>1391</v>
      </c>
      <c r="E21" s="5" t="s">
        <v>750</v>
      </c>
      <c r="F21" s="5" t="s">
        <v>1392</v>
      </c>
      <c r="G21" s="5" t="s">
        <v>1393</v>
      </c>
      <c r="H21" s="5" t="s">
        <v>1394</v>
      </c>
      <c r="I21" s="5" t="s">
        <v>89</v>
      </c>
      <c r="J21" s="5" t="s">
        <v>195</v>
      </c>
      <c r="K21" s="5"/>
      <c r="L21" s="5" t="s">
        <v>95</v>
      </c>
      <c r="M21" s="5"/>
      <c r="N21" s="5"/>
      <c r="O21" s="5"/>
      <c r="P21" s="5"/>
    </row>
    <row r="22" customFormat="false" ht="27.75" hidden="false" customHeight="true" outlineLevel="0" collapsed="false">
      <c r="A22" s="5" t="s">
        <v>1395</v>
      </c>
      <c r="B22" s="5" t="s">
        <v>139</v>
      </c>
      <c r="C22" s="5" t="s">
        <v>100</v>
      </c>
      <c r="D22" s="5" t="s">
        <v>1396</v>
      </c>
      <c r="E22" s="5" t="s">
        <v>750</v>
      </c>
      <c r="F22" s="5" t="s">
        <v>1397</v>
      </c>
      <c r="G22" s="5" t="s">
        <v>1398</v>
      </c>
      <c r="H22" s="5" t="s">
        <v>1399</v>
      </c>
      <c r="I22" s="5" t="s">
        <v>88</v>
      </c>
      <c r="J22" s="5" t="s">
        <v>242</v>
      </c>
      <c r="K22" s="5" t="s">
        <v>1400</v>
      </c>
      <c r="L22" s="5" t="s">
        <v>32</v>
      </c>
      <c r="M22" s="5" t="s">
        <v>197</v>
      </c>
      <c r="N22" s="5" t="s">
        <v>28</v>
      </c>
      <c r="O22" s="5"/>
      <c r="P22" s="5"/>
    </row>
    <row r="23" customFormat="false" ht="27.75" hidden="false" customHeight="true" outlineLevel="0" collapsed="false">
      <c r="A23" s="5" t="s">
        <v>1401</v>
      </c>
      <c r="B23" s="5" t="s">
        <v>139</v>
      </c>
      <c r="C23" s="5" t="s">
        <v>100</v>
      </c>
      <c r="D23" s="5" t="s">
        <v>1402</v>
      </c>
      <c r="E23" s="5" t="s">
        <v>1403</v>
      </c>
      <c r="F23" s="5" t="s">
        <v>1404</v>
      </c>
      <c r="G23" s="5" t="s">
        <v>1398</v>
      </c>
      <c r="H23" s="5" t="s">
        <v>1405</v>
      </c>
      <c r="I23" s="5" t="s">
        <v>88</v>
      </c>
      <c r="J23" s="5" t="s">
        <v>242</v>
      </c>
      <c r="K23" s="5" t="s">
        <v>1406</v>
      </c>
      <c r="L23" s="5" t="s">
        <v>32</v>
      </c>
      <c r="M23" s="5" t="s">
        <v>197</v>
      </c>
      <c r="N23" s="5" t="s">
        <v>28</v>
      </c>
      <c r="O23" s="5"/>
      <c r="P23" s="5"/>
    </row>
    <row r="24" customFormat="false" ht="54.75" hidden="false" customHeight="true" outlineLevel="0" collapsed="false">
      <c r="A24" s="5" t="s">
        <v>1407</v>
      </c>
      <c r="B24" s="5" t="s">
        <v>139</v>
      </c>
      <c r="C24" s="5" t="s">
        <v>100</v>
      </c>
      <c r="D24" s="5" t="s">
        <v>1408</v>
      </c>
      <c r="E24" s="5" t="s">
        <v>750</v>
      </c>
      <c r="F24" s="5" t="s">
        <v>1409</v>
      </c>
      <c r="G24" s="5" t="s">
        <v>1410</v>
      </c>
      <c r="H24" s="5" t="s">
        <v>1411</v>
      </c>
      <c r="I24" s="5" t="s">
        <v>88</v>
      </c>
      <c r="J24" s="5" t="s">
        <v>195</v>
      </c>
      <c r="K24" s="5" t="s">
        <v>1412</v>
      </c>
      <c r="L24" s="5" t="s">
        <v>32</v>
      </c>
      <c r="M24" s="5" t="s">
        <v>197</v>
      </c>
      <c r="N24" s="5" t="s">
        <v>28</v>
      </c>
      <c r="O24" s="5"/>
      <c r="P24" s="5"/>
    </row>
    <row r="25" customFormat="false" ht="41.25" hidden="false" customHeight="true" outlineLevel="0" collapsed="false">
      <c r="A25" s="5" t="s">
        <v>1413</v>
      </c>
      <c r="B25" s="5" t="s">
        <v>139</v>
      </c>
      <c r="C25" s="5" t="s">
        <v>100</v>
      </c>
      <c r="D25" s="5" t="s">
        <v>1414</v>
      </c>
      <c r="E25" s="5" t="s">
        <v>750</v>
      </c>
      <c r="F25" s="5" t="s">
        <v>1415</v>
      </c>
      <c r="G25" s="5" t="s">
        <v>1416</v>
      </c>
      <c r="H25" s="5" t="s">
        <v>1417</v>
      </c>
      <c r="I25" s="5" t="s">
        <v>88</v>
      </c>
      <c r="J25" s="5" t="s">
        <v>271</v>
      </c>
      <c r="K25" s="5" t="s">
        <v>1418</v>
      </c>
      <c r="L25" s="5" t="s">
        <v>32</v>
      </c>
      <c r="M25" s="5" t="s">
        <v>197</v>
      </c>
      <c r="N25" s="5" t="s">
        <v>28</v>
      </c>
      <c r="O25" s="5"/>
      <c r="P25" s="5"/>
    </row>
    <row r="26" customFormat="false" ht="27.75" hidden="false" customHeight="true" outlineLevel="0" collapsed="false">
      <c r="A26" s="5" t="s">
        <v>1419</v>
      </c>
      <c r="B26" s="5" t="s">
        <v>139</v>
      </c>
      <c r="C26" s="5" t="s">
        <v>100</v>
      </c>
      <c r="D26" s="5" t="s">
        <v>1420</v>
      </c>
      <c r="E26" s="5" t="s">
        <v>1421</v>
      </c>
      <c r="F26" s="5" t="s">
        <v>296</v>
      </c>
      <c r="G26" s="5" t="s">
        <v>1422</v>
      </c>
      <c r="H26" s="5" t="s">
        <v>1423</v>
      </c>
      <c r="I26" s="5" t="s">
        <v>88</v>
      </c>
      <c r="J26" s="5" t="s">
        <v>210</v>
      </c>
      <c r="K26" s="5" t="s">
        <v>1424</v>
      </c>
      <c r="L26" s="5" t="s">
        <v>32</v>
      </c>
      <c r="M26" s="5" t="s">
        <v>197</v>
      </c>
      <c r="N26" s="5" t="s">
        <v>28</v>
      </c>
      <c r="O26" s="5"/>
      <c r="P26" s="5"/>
    </row>
    <row r="27" customFormat="false" ht="27.75" hidden="false" customHeight="true" outlineLevel="0" collapsed="false">
      <c r="A27" s="5" t="s">
        <v>1425</v>
      </c>
      <c r="B27" s="5" t="s">
        <v>139</v>
      </c>
      <c r="C27" s="5" t="s">
        <v>100</v>
      </c>
      <c r="D27" s="5" t="s">
        <v>1426</v>
      </c>
      <c r="E27" s="5" t="s">
        <v>1427</v>
      </c>
      <c r="F27" s="5" t="s">
        <v>1428</v>
      </c>
      <c r="G27" s="5" t="s">
        <v>1429</v>
      </c>
      <c r="H27" s="5" t="s">
        <v>1430</v>
      </c>
      <c r="I27" s="5" t="s">
        <v>89</v>
      </c>
      <c r="J27" s="5" t="s">
        <v>210</v>
      </c>
      <c r="K27" s="5"/>
      <c r="L27" s="5" t="s">
        <v>95</v>
      </c>
      <c r="M27" s="5"/>
      <c r="N27" s="5"/>
      <c r="O27" s="5"/>
      <c r="P27" s="5"/>
    </row>
    <row r="28" customFormat="false" ht="27.75" hidden="false" customHeight="true" outlineLevel="0" collapsed="false">
      <c r="A28" s="5" t="s">
        <v>1431</v>
      </c>
      <c r="B28" s="5" t="s">
        <v>140</v>
      </c>
      <c r="C28" s="5" t="s">
        <v>100</v>
      </c>
      <c r="D28" s="5" t="s">
        <v>1432</v>
      </c>
      <c r="E28" s="5" t="s">
        <v>1433</v>
      </c>
      <c r="F28" s="5" t="s">
        <v>296</v>
      </c>
      <c r="G28" s="5" t="s">
        <v>1434</v>
      </c>
      <c r="H28" s="5" t="s">
        <v>1435</v>
      </c>
      <c r="I28" s="5" t="s">
        <v>88</v>
      </c>
      <c r="J28" s="5" t="s">
        <v>195</v>
      </c>
      <c r="K28" s="5" t="s">
        <v>1436</v>
      </c>
      <c r="L28" s="5" t="s">
        <v>32</v>
      </c>
      <c r="M28" s="5" t="s">
        <v>197</v>
      </c>
      <c r="N28" s="5" t="s">
        <v>28</v>
      </c>
      <c r="O28" s="5"/>
      <c r="P28" s="5"/>
    </row>
    <row r="29" customFormat="false" ht="27.75" hidden="false" customHeight="true" outlineLevel="0" collapsed="false">
      <c r="A29" s="5" t="s">
        <v>1437</v>
      </c>
      <c r="B29" s="5" t="s">
        <v>140</v>
      </c>
      <c r="C29" s="5" t="s">
        <v>100</v>
      </c>
      <c r="D29" s="5" t="s">
        <v>1438</v>
      </c>
      <c r="E29" s="5" t="s">
        <v>1439</v>
      </c>
      <c r="F29" s="5" t="s">
        <v>296</v>
      </c>
      <c r="G29" s="5" t="s">
        <v>1440</v>
      </c>
      <c r="H29" s="5" t="s">
        <v>1441</v>
      </c>
      <c r="I29" s="5" t="s">
        <v>88</v>
      </c>
      <c r="J29" s="5" t="s">
        <v>195</v>
      </c>
      <c r="K29" s="5" t="s">
        <v>1442</v>
      </c>
      <c r="L29" s="5" t="s">
        <v>32</v>
      </c>
      <c r="M29" s="5" t="s">
        <v>197</v>
      </c>
      <c r="N29" s="5" t="s">
        <v>28</v>
      </c>
      <c r="O29" s="5"/>
      <c r="P29" s="5"/>
    </row>
    <row r="30" customFormat="false" ht="27.75" hidden="false" customHeight="true" outlineLevel="0" collapsed="false">
      <c r="A30" s="5" t="s">
        <v>1443</v>
      </c>
      <c r="B30" s="5" t="s">
        <v>140</v>
      </c>
      <c r="C30" s="5" t="s">
        <v>100</v>
      </c>
      <c r="D30" s="5" t="s">
        <v>1444</v>
      </c>
      <c r="E30" s="5" t="s">
        <v>1125</v>
      </c>
      <c r="F30" s="5" t="s">
        <v>296</v>
      </c>
      <c r="G30" s="5" t="s">
        <v>1445</v>
      </c>
      <c r="H30" s="5" t="s">
        <v>1446</v>
      </c>
      <c r="I30" s="5" t="s">
        <v>88</v>
      </c>
      <c r="J30" s="5" t="s">
        <v>210</v>
      </c>
      <c r="K30" s="5" t="s">
        <v>1447</v>
      </c>
      <c r="L30" s="5" t="s">
        <v>32</v>
      </c>
      <c r="M30" s="5" t="s">
        <v>197</v>
      </c>
      <c r="N30" s="5" t="s">
        <v>28</v>
      </c>
      <c r="O30" s="5"/>
      <c r="P30" s="5"/>
    </row>
    <row r="31" customFormat="false" ht="27.75" hidden="false" customHeight="true" outlineLevel="0" collapsed="false">
      <c r="A31" s="5" t="s">
        <v>1448</v>
      </c>
      <c r="B31" s="5" t="s">
        <v>141</v>
      </c>
      <c r="C31" s="5" t="s">
        <v>100</v>
      </c>
      <c r="D31" s="5" t="s">
        <v>1449</v>
      </c>
      <c r="E31" s="5" t="s">
        <v>1450</v>
      </c>
      <c r="F31" s="5" t="s">
        <v>1451</v>
      </c>
      <c r="G31" s="5" t="s">
        <v>1452</v>
      </c>
      <c r="H31" s="5" t="s">
        <v>1453</v>
      </c>
      <c r="I31" s="5" t="s">
        <v>88</v>
      </c>
      <c r="J31" s="5" t="s">
        <v>185</v>
      </c>
      <c r="K31" s="5" t="s">
        <v>1454</v>
      </c>
      <c r="L31" s="5" t="s">
        <v>32</v>
      </c>
      <c r="M31" s="5" t="s">
        <v>197</v>
      </c>
      <c r="N31" s="5" t="s">
        <v>28</v>
      </c>
      <c r="O31" s="5"/>
      <c r="P31" s="5"/>
    </row>
    <row r="32" customFormat="false" ht="27.75" hidden="false" customHeight="true" outlineLevel="0" collapsed="false">
      <c r="A32" s="5" t="s">
        <v>1455</v>
      </c>
      <c r="B32" s="5" t="s">
        <v>141</v>
      </c>
      <c r="C32" s="5" t="s">
        <v>100</v>
      </c>
      <c r="D32" s="5" t="s">
        <v>1456</v>
      </c>
      <c r="E32" s="5" t="s">
        <v>1450</v>
      </c>
      <c r="F32" s="5" t="s">
        <v>1457</v>
      </c>
      <c r="G32" s="5" t="s">
        <v>1458</v>
      </c>
      <c r="H32" s="5" t="s">
        <v>1459</v>
      </c>
      <c r="I32" s="5" t="s">
        <v>88</v>
      </c>
      <c r="J32" s="5" t="s">
        <v>185</v>
      </c>
      <c r="K32" s="5" t="s">
        <v>1460</v>
      </c>
      <c r="L32" s="5" t="s">
        <v>32</v>
      </c>
      <c r="M32" s="5" t="s">
        <v>197</v>
      </c>
      <c r="N32" s="5" t="s">
        <v>28</v>
      </c>
      <c r="O32" s="5"/>
      <c r="P32" s="5"/>
    </row>
    <row r="33" customFormat="false" ht="27.75" hidden="false" customHeight="true" outlineLevel="0" collapsed="false">
      <c r="A33" s="5" t="s">
        <v>1461</v>
      </c>
      <c r="B33" s="5" t="s">
        <v>141</v>
      </c>
      <c r="C33" s="5" t="s">
        <v>100</v>
      </c>
      <c r="D33" s="5" t="s">
        <v>1462</v>
      </c>
      <c r="E33" s="5" t="s">
        <v>1463</v>
      </c>
      <c r="F33" s="5" t="s">
        <v>296</v>
      </c>
      <c r="G33" s="5" t="s">
        <v>1464</v>
      </c>
      <c r="H33" s="5" t="s">
        <v>1465</v>
      </c>
      <c r="I33" s="5" t="s">
        <v>88</v>
      </c>
      <c r="J33" s="5" t="s">
        <v>185</v>
      </c>
      <c r="K33" s="5" t="s">
        <v>1466</v>
      </c>
      <c r="L33" s="5" t="s">
        <v>32</v>
      </c>
      <c r="M33" s="5" t="s">
        <v>197</v>
      </c>
      <c r="N33" s="5" t="s">
        <v>28</v>
      </c>
      <c r="O33" s="5"/>
      <c r="P33" s="5"/>
    </row>
    <row r="34" customFormat="false" ht="27.75" hidden="false" customHeight="true" outlineLevel="0" collapsed="false">
      <c r="A34" s="5" t="s">
        <v>1467</v>
      </c>
      <c r="B34" s="5" t="s">
        <v>141</v>
      </c>
      <c r="C34" s="5" t="s">
        <v>100</v>
      </c>
      <c r="D34" s="5" t="s">
        <v>1468</v>
      </c>
      <c r="E34" s="5" t="s">
        <v>1450</v>
      </c>
      <c r="F34" s="5" t="s">
        <v>296</v>
      </c>
      <c r="G34" s="5" t="s">
        <v>1469</v>
      </c>
      <c r="H34" s="5" t="s">
        <v>1470</v>
      </c>
      <c r="I34" s="5" t="s">
        <v>88</v>
      </c>
      <c r="J34" s="5" t="s">
        <v>185</v>
      </c>
      <c r="K34" s="5" t="s">
        <v>1471</v>
      </c>
      <c r="L34" s="5" t="s">
        <v>32</v>
      </c>
      <c r="M34" s="5" t="s">
        <v>197</v>
      </c>
      <c r="N34" s="5" t="s">
        <v>28</v>
      </c>
      <c r="O34" s="5"/>
      <c r="P34" s="5"/>
    </row>
    <row r="35" customFormat="false" ht="27.75" hidden="false" customHeight="true" outlineLevel="0" collapsed="false">
      <c r="A35" s="5" t="s">
        <v>1472</v>
      </c>
      <c r="B35" s="5" t="s">
        <v>141</v>
      </c>
      <c r="C35" s="5" t="s">
        <v>100</v>
      </c>
      <c r="D35" s="5" t="s">
        <v>1473</v>
      </c>
      <c r="E35" s="5" t="s">
        <v>1474</v>
      </c>
      <c r="F35" s="5" t="s">
        <v>296</v>
      </c>
      <c r="G35" s="5" t="s">
        <v>1475</v>
      </c>
      <c r="H35" s="5" t="s">
        <v>1476</v>
      </c>
      <c r="I35" s="5" t="s">
        <v>88</v>
      </c>
      <c r="J35" s="5" t="s">
        <v>185</v>
      </c>
      <c r="K35" s="5" t="s">
        <v>1477</v>
      </c>
      <c r="L35" s="5" t="s">
        <v>32</v>
      </c>
      <c r="M35" s="5" t="s">
        <v>197</v>
      </c>
      <c r="N35" s="5" t="s">
        <v>28</v>
      </c>
      <c r="O35" s="5"/>
      <c r="P35" s="5"/>
    </row>
    <row r="36" customFormat="false" ht="27.75" hidden="false" customHeight="true" outlineLevel="0" collapsed="false">
      <c r="A36" s="5" t="s">
        <v>1478</v>
      </c>
      <c r="B36" s="5" t="s">
        <v>141</v>
      </c>
      <c r="C36" s="5" t="s">
        <v>100</v>
      </c>
      <c r="D36" s="5" t="s">
        <v>1479</v>
      </c>
      <c r="E36" s="5" t="s">
        <v>1480</v>
      </c>
      <c r="F36" s="5" t="s">
        <v>296</v>
      </c>
      <c r="G36" s="5" t="s">
        <v>1475</v>
      </c>
      <c r="H36" s="5" t="s">
        <v>1481</v>
      </c>
      <c r="I36" s="5" t="s">
        <v>89</v>
      </c>
      <c r="J36" s="5" t="s">
        <v>185</v>
      </c>
      <c r="K36" s="5"/>
      <c r="L36" s="5" t="s">
        <v>95</v>
      </c>
      <c r="M36" s="5"/>
      <c r="N36" s="5"/>
      <c r="O36" s="5"/>
      <c r="P36" s="5"/>
    </row>
    <row r="37" customFormat="false" ht="27.75" hidden="false" customHeight="true" outlineLevel="0" collapsed="false">
      <c r="A37" s="5" t="s">
        <v>1482</v>
      </c>
      <c r="B37" s="5" t="s">
        <v>141</v>
      </c>
      <c r="C37" s="5" t="s">
        <v>100</v>
      </c>
      <c r="D37" s="5" t="s">
        <v>1483</v>
      </c>
      <c r="E37" s="5" t="s">
        <v>1484</v>
      </c>
      <c r="F37" s="5" t="s">
        <v>1485</v>
      </c>
      <c r="G37" s="5" t="s">
        <v>1486</v>
      </c>
      <c r="H37" s="5" t="s">
        <v>1487</v>
      </c>
      <c r="I37" s="5" t="s">
        <v>88</v>
      </c>
      <c r="J37" s="5" t="s">
        <v>185</v>
      </c>
      <c r="K37" s="5" t="s">
        <v>1488</v>
      </c>
      <c r="L37" s="5" t="s">
        <v>93</v>
      </c>
      <c r="M37" s="5" t="s">
        <v>197</v>
      </c>
      <c r="N37" s="5" t="s">
        <v>28</v>
      </c>
      <c r="O37" s="5"/>
      <c r="P37" s="5"/>
    </row>
    <row r="38" customFormat="false" ht="27.75" hidden="false" customHeight="true" outlineLevel="0" collapsed="false">
      <c r="A38" s="5" t="s">
        <v>1489</v>
      </c>
      <c r="B38" s="5" t="s">
        <v>141</v>
      </c>
      <c r="C38" s="5" t="s">
        <v>100</v>
      </c>
      <c r="D38" s="5" t="s">
        <v>1490</v>
      </c>
      <c r="E38" s="5" t="s">
        <v>1491</v>
      </c>
      <c r="F38" s="5" t="s">
        <v>1492</v>
      </c>
      <c r="G38" s="5" t="s">
        <v>1493</v>
      </c>
      <c r="H38" s="5" t="s">
        <v>1494</v>
      </c>
      <c r="I38" s="5" t="s">
        <v>89</v>
      </c>
      <c r="J38" s="5" t="s">
        <v>218</v>
      </c>
      <c r="K38" s="5"/>
      <c r="L38" s="5" t="s">
        <v>95</v>
      </c>
      <c r="M38" s="5"/>
      <c r="N38" s="5"/>
      <c r="O38" s="5"/>
      <c r="P38" s="5"/>
    </row>
    <row r="39" customFormat="false" ht="27.75" hidden="false" customHeight="true" outlineLevel="0" collapsed="false">
      <c r="A39" s="5" t="s">
        <v>1495</v>
      </c>
      <c r="B39" s="5" t="s">
        <v>141</v>
      </c>
      <c r="C39" s="5" t="s">
        <v>100</v>
      </c>
      <c r="D39" s="5" t="s">
        <v>1496</v>
      </c>
      <c r="E39" s="5" t="s">
        <v>1497</v>
      </c>
      <c r="F39" s="5" t="s">
        <v>296</v>
      </c>
      <c r="G39" s="5" t="s">
        <v>582</v>
      </c>
      <c r="H39" s="5" t="s">
        <v>1498</v>
      </c>
      <c r="I39" s="5" t="s">
        <v>88</v>
      </c>
      <c r="J39" s="5" t="s">
        <v>195</v>
      </c>
      <c r="K39" s="5" t="s">
        <v>1499</v>
      </c>
      <c r="L39" s="5" t="s">
        <v>32</v>
      </c>
      <c r="M39" s="5" t="s">
        <v>197</v>
      </c>
      <c r="N39" s="5" t="s">
        <v>28</v>
      </c>
      <c r="O39" s="5"/>
      <c r="P39" s="5"/>
    </row>
    <row r="40" customFormat="false" ht="27.75" hidden="false" customHeight="true" outlineLevel="0" collapsed="false">
      <c r="A40" s="5" t="s">
        <v>1500</v>
      </c>
      <c r="B40" s="5" t="s">
        <v>141</v>
      </c>
      <c r="C40" s="5" t="s">
        <v>100</v>
      </c>
      <c r="D40" s="5" t="s">
        <v>1501</v>
      </c>
      <c r="E40" s="5" t="s">
        <v>1502</v>
      </c>
      <c r="F40" s="5" t="s">
        <v>296</v>
      </c>
      <c r="G40" s="5" t="s">
        <v>1503</v>
      </c>
      <c r="H40" s="5" t="s">
        <v>1504</v>
      </c>
      <c r="I40" s="5" t="s">
        <v>88</v>
      </c>
      <c r="J40" s="5" t="s">
        <v>218</v>
      </c>
      <c r="K40" s="5" t="s">
        <v>1505</v>
      </c>
      <c r="L40" s="5" t="s">
        <v>32</v>
      </c>
      <c r="M40" s="5" t="s">
        <v>197</v>
      </c>
      <c r="N40" s="5" t="s">
        <v>28</v>
      </c>
      <c r="O40" s="5"/>
      <c r="P40" s="5"/>
    </row>
    <row r="41" customFormat="false" ht="27.75" hidden="false" customHeight="true" outlineLevel="0" collapsed="false">
      <c r="A41" s="5" t="s">
        <v>1506</v>
      </c>
      <c r="B41" s="5" t="s">
        <v>141</v>
      </c>
      <c r="C41" s="5" t="s">
        <v>100</v>
      </c>
      <c r="D41" s="5" t="s">
        <v>1507</v>
      </c>
      <c r="E41" s="5" t="s">
        <v>1508</v>
      </c>
      <c r="F41" s="5" t="s">
        <v>296</v>
      </c>
      <c r="G41" s="5" t="s">
        <v>1509</v>
      </c>
      <c r="H41" s="5" t="s">
        <v>1510</v>
      </c>
      <c r="I41" s="5" t="s">
        <v>89</v>
      </c>
      <c r="J41" s="5" t="s">
        <v>195</v>
      </c>
      <c r="K41" s="5"/>
      <c r="L41" s="5" t="s">
        <v>95</v>
      </c>
      <c r="M41" s="5"/>
      <c r="N41" s="5"/>
      <c r="O41" s="5"/>
      <c r="P41" s="5"/>
    </row>
    <row r="42" customFormat="false" ht="27.75" hidden="false" customHeight="true" outlineLevel="0" collapsed="false">
      <c r="A42" s="5" t="s">
        <v>1511</v>
      </c>
      <c r="B42" s="5" t="s">
        <v>141</v>
      </c>
      <c r="C42" s="5" t="s">
        <v>100</v>
      </c>
      <c r="D42" s="5" t="s">
        <v>1512</v>
      </c>
      <c r="E42" s="5" t="s">
        <v>1513</v>
      </c>
      <c r="F42" s="5" t="s">
        <v>296</v>
      </c>
      <c r="G42" s="5" t="s">
        <v>1514</v>
      </c>
      <c r="H42" s="5" t="s">
        <v>815</v>
      </c>
      <c r="I42" s="5" t="s">
        <v>88</v>
      </c>
      <c r="J42" s="5" t="s">
        <v>210</v>
      </c>
      <c r="K42" s="5" t="s">
        <v>1515</v>
      </c>
      <c r="L42" s="5" t="s">
        <v>32</v>
      </c>
      <c r="M42" s="5" t="s">
        <v>197</v>
      </c>
      <c r="N42" s="5" t="s">
        <v>28</v>
      </c>
      <c r="O42" s="5"/>
      <c r="P42" s="5"/>
    </row>
    <row r="43" customFormat="false" ht="27.75" hidden="false" customHeight="true" outlineLevel="0" collapsed="false">
      <c r="A43" s="5" t="s">
        <v>1516</v>
      </c>
      <c r="B43" s="5" t="s">
        <v>142</v>
      </c>
      <c r="C43" s="5" t="s">
        <v>100</v>
      </c>
      <c r="D43" s="5" t="s">
        <v>1517</v>
      </c>
      <c r="E43" s="5" t="s">
        <v>1518</v>
      </c>
      <c r="F43" s="5" t="s">
        <v>296</v>
      </c>
      <c r="G43" s="5" t="s">
        <v>1519</v>
      </c>
      <c r="H43" s="5" t="s">
        <v>1520</v>
      </c>
      <c r="I43" s="5" t="s">
        <v>88</v>
      </c>
      <c r="J43" s="5" t="s">
        <v>195</v>
      </c>
      <c r="K43" s="5" t="s">
        <v>1521</v>
      </c>
      <c r="L43" s="5" t="s">
        <v>32</v>
      </c>
      <c r="M43" s="5" t="s">
        <v>197</v>
      </c>
      <c r="N43" s="5" t="s">
        <v>28</v>
      </c>
      <c r="O43" s="5"/>
      <c r="P43" s="5"/>
    </row>
    <row r="44" customFormat="false" ht="27.75" hidden="false" customHeight="true" outlineLevel="0" collapsed="false">
      <c r="A44" s="5" t="s">
        <v>1522</v>
      </c>
      <c r="B44" s="5" t="s">
        <v>142</v>
      </c>
      <c r="C44" s="5" t="s">
        <v>100</v>
      </c>
      <c r="D44" s="5" t="s">
        <v>1523</v>
      </c>
      <c r="E44" s="5" t="s">
        <v>1524</v>
      </c>
      <c r="F44" s="5" t="s">
        <v>296</v>
      </c>
      <c r="G44" s="5" t="s">
        <v>1525</v>
      </c>
      <c r="H44" s="5" t="s">
        <v>1526</v>
      </c>
      <c r="I44" s="5" t="s">
        <v>88</v>
      </c>
      <c r="J44" s="5" t="s">
        <v>195</v>
      </c>
      <c r="K44" s="5" t="s">
        <v>1527</v>
      </c>
      <c r="L44" s="5" t="s">
        <v>32</v>
      </c>
      <c r="M44" s="5" t="s">
        <v>197</v>
      </c>
      <c r="N44" s="5" t="s">
        <v>28</v>
      </c>
      <c r="O44" s="5"/>
      <c r="P44" s="5"/>
    </row>
    <row r="45" customFormat="false" ht="27.75" hidden="false" customHeight="true" outlineLevel="0" collapsed="false">
      <c r="A45" s="5" t="s">
        <v>1528</v>
      </c>
      <c r="B45" s="5" t="s">
        <v>142</v>
      </c>
      <c r="C45" s="5" t="s">
        <v>100</v>
      </c>
      <c r="D45" s="5" t="s">
        <v>1529</v>
      </c>
      <c r="E45" s="5" t="s">
        <v>1530</v>
      </c>
      <c r="F45" s="5" t="s">
        <v>296</v>
      </c>
      <c r="G45" s="5" t="s">
        <v>1525</v>
      </c>
      <c r="H45" s="5" t="s">
        <v>1531</v>
      </c>
      <c r="I45" s="5" t="s">
        <v>89</v>
      </c>
      <c r="J45" s="5" t="s">
        <v>195</v>
      </c>
      <c r="K45" s="5"/>
      <c r="L45" s="5" t="s">
        <v>95</v>
      </c>
      <c r="M45" s="5"/>
      <c r="N45" s="5"/>
      <c r="O45" s="5"/>
      <c r="P45" s="5"/>
    </row>
    <row r="46" customFormat="false" ht="27.75" hidden="false" customHeight="true" outlineLevel="0" collapsed="false">
      <c r="A46" s="5" t="s">
        <v>1532</v>
      </c>
      <c r="B46" s="5" t="s">
        <v>142</v>
      </c>
      <c r="C46" s="5" t="s">
        <v>100</v>
      </c>
      <c r="D46" s="5" t="s">
        <v>1533</v>
      </c>
      <c r="E46" s="5" t="s">
        <v>1534</v>
      </c>
      <c r="F46" s="5" t="s">
        <v>296</v>
      </c>
      <c r="G46" s="5" t="s">
        <v>1535</v>
      </c>
      <c r="H46" s="5" t="s">
        <v>1536</v>
      </c>
      <c r="I46" s="5" t="s">
        <v>88</v>
      </c>
      <c r="J46" s="5" t="s">
        <v>185</v>
      </c>
      <c r="K46" s="5" t="s">
        <v>1537</v>
      </c>
      <c r="L46" s="5" t="s">
        <v>32</v>
      </c>
      <c r="M46" s="5" t="s">
        <v>197</v>
      </c>
      <c r="N46" s="5" t="s">
        <v>28</v>
      </c>
      <c r="O46" s="5"/>
      <c r="P46" s="5"/>
    </row>
    <row r="47" customFormat="false" ht="27.75" hidden="false" customHeight="true" outlineLevel="0" collapsed="false">
      <c r="A47" s="5" t="s">
        <v>1538</v>
      </c>
      <c r="B47" s="5" t="s">
        <v>142</v>
      </c>
      <c r="C47" s="5" t="s">
        <v>100</v>
      </c>
      <c r="D47" s="5" t="s">
        <v>1539</v>
      </c>
      <c r="E47" s="5" t="s">
        <v>1540</v>
      </c>
      <c r="F47" s="5" t="s">
        <v>296</v>
      </c>
      <c r="G47" s="5" t="s">
        <v>1541</v>
      </c>
      <c r="H47" s="5" t="s">
        <v>1542</v>
      </c>
      <c r="I47" s="5" t="s">
        <v>88</v>
      </c>
      <c r="J47" s="5" t="s">
        <v>210</v>
      </c>
      <c r="K47" s="5" t="s">
        <v>1543</v>
      </c>
      <c r="L47" s="5" t="s">
        <v>32</v>
      </c>
      <c r="M47" s="5" t="s">
        <v>197</v>
      </c>
      <c r="N47" s="5" t="s">
        <v>28</v>
      </c>
      <c r="O47" s="5"/>
      <c r="P47" s="5"/>
    </row>
    <row r="48" customFormat="false" ht="41.25" hidden="false" customHeight="true" outlineLevel="0" collapsed="false">
      <c r="A48" s="5" t="s">
        <v>1544</v>
      </c>
      <c r="B48" s="5" t="s">
        <v>143</v>
      </c>
      <c r="C48" s="5" t="s">
        <v>100</v>
      </c>
      <c r="D48" s="5" t="s">
        <v>1545</v>
      </c>
      <c r="E48" s="5" t="s">
        <v>1546</v>
      </c>
      <c r="F48" s="5" t="s">
        <v>1547</v>
      </c>
      <c r="G48" s="5" t="s">
        <v>1548</v>
      </c>
      <c r="H48" s="5" t="s">
        <v>1549</v>
      </c>
      <c r="I48" s="5" t="s">
        <v>88</v>
      </c>
      <c r="J48" s="5" t="s">
        <v>195</v>
      </c>
      <c r="K48" s="5" t="s">
        <v>1550</v>
      </c>
      <c r="L48" s="5" t="s">
        <v>32</v>
      </c>
      <c r="M48" s="5" t="s">
        <v>197</v>
      </c>
      <c r="N48" s="5" t="s">
        <v>28</v>
      </c>
      <c r="O48" s="5"/>
      <c r="P48" s="5"/>
    </row>
    <row r="49" customFormat="false" ht="27.75" hidden="false" customHeight="true" outlineLevel="0" collapsed="false">
      <c r="A49" s="5" t="s">
        <v>1551</v>
      </c>
      <c r="B49" s="5" t="s">
        <v>143</v>
      </c>
      <c r="C49" s="5" t="s">
        <v>100</v>
      </c>
      <c r="D49" s="5" t="s">
        <v>1552</v>
      </c>
      <c r="E49" s="5" t="s">
        <v>1546</v>
      </c>
      <c r="F49" s="5" t="s">
        <v>1553</v>
      </c>
      <c r="G49" s="5" t="s">
        <v>1554</v>
      </c>
      <c r="H49" s="5" t="s">
        <v>1555</v>
      </c>
      <c r="I49" s="5" t="s">
        <v>88</v>
      </c>
      <c r="J49" s="5" t="s">
        <v>218</v>
      </c>
      <c r="K49" s="5" t="s">
        <v>1556</v>
      </c>
      <c r="L49" s="5" t="s">
        <v>32</v>
      </c>
      <c r="M49" s="5" t="s">
        <v>197</v>
      </c>
      <c r="N49" s="5" t="s">
        <v>28</v>
      </c>
      <c r="O49" s="5"/>
      <c r="P49" s="5"/>
    </row>
    <row r="50" customFormat="false" ht="41.25" hidden="false" customHeight="true" outlineLevel="0" collapsed="false">
      <c r="A50" s="5" t="s">
        <v>1557</v>
      </c>
      <c r="B50" s="5" t="s">
        <v>143</v>
      </c>
      <c r="C50" s="5" t="s">
        <v>100</v>
      </c>
      <c r="D50" s="5" t="s">
        <v>1558</v>
      </c>
      <c r="E50" s="5" t="s">
        <v>1559</v>
      </c>
      <c r="F50" s="5" t="s">
        <v>1560</v>
      </c>
      <c r="G50" s="5" t="s">
        <v>1561</v>
      </c>
      <c r="H50" s="5" t="s">
        <v>1562</v>
      </c>
      <c r="I50" s="5" t="s">
        <v>88</v>
      </c>
      <c r="J50" s="5" t="s">
        <v>195</v>
      </c>
      <c r="K50" s="5" t="s">
        <v>1563</v>
      </c>
      <c r="L50" s="5" t="s">
        <v>32</v>
      </c>
      <c r="M50" s="5" t="s">
        <v>197</v>
      </c>
      <c r="N50" s="5" t="s">
        <v>28</v>
      </c>
      <c r="O50" s="5"/>
      <c r="P50" s="5"/>
    </row>
    <row r="51" customFormat="false" ht="27.75" hidden="false" customHeight="true" outlineLevel="0" collapsed="false">
      <c r="A51" s="5" t="s">
        <v>1564</v>
      </c>
      <c r="B51" s="5" t="s">
        <v>143</v>
      </c>
      <c r="C51" s="5" t="s">
        <v>100</v>
      </c>
      <c r="D51" s="5" t="s">
        <v>1565</v>
      </c>
      <c r="E51" s="5" t="s">
        <v>1559</v>
      </c>
      <c r="F51" s="5" t="s">
        <v>1566</v>
      </c>
      <c r="G51" s="5" t="s">
        <v>1567</v>
      </c>
      <c r="H51" s="5" t="s">
        <v>1568</v>
      </c>
      <c r="I51" s="5" t="s">
        <v>90</v>
      </c>
      <c r="J51" s="5" t="s">
        <v>242</v>
      </c>
      <c r="K51" s="5"/>
      <c r="L51" s="5" t="s">
        <v>95</v>
      </c>
      <c r="M51" s="5"/>
      <c r="N51" s="5"/>
      <c r="O51" s="5"/>
      <c r="P51" s="5"/>
    </row>
    <row r="52" customFormat="false" ht="41.25" hidden="false" customHeight="true" outlineLevel="0" collapsed="false">
      <c r="A52" s="5" t="s">
        <v>1569</v>
      </c>
      <c r="B52" s="5" t="s">
        <v>144</v>
      </c>
      <c r="C52" s="5" t="s">
        <v>100</v>
      </c>
      <c r="D52" s="5" t="s">
        <v>1570</v>
      </c>
      <c r="E52" s="5" t="s">
        <v>1571</v>
      </c>
      <c r="F52" s="5" t="s">
        <v>1572</v>
      </c>
      <c r="G52" s="5" t="s">
        <v>1573</v>
      </c>
      <c r="H52" s="5" t="s">
        <v>1574</v>
      </c>
      <c r="I52" s="5" t="s">
        <v>89</v>
      </c>
      <c r="J52" s="5" t="s">
        <v>195</v>
      </c>
      <c r="K52" s="5"/>
      <c r="L52" s="5" t="s">
        <v>95</v>
      </c>
      <c r="M52" s="5"/>
      <c r="N52" s="5"/>
      <c r="O52" s="5"/>
      <c r="P52" s="5"/>
    </row>
    <row r="53" customFormat="false" ht="27.75" hidden="false" customHeight="true" outlineLevel="0" collapsed="false">
      <c r="A53" s="5" t="s">
        <v>1575</v>
      </c>
      <c r="B53" s="5" t="s">
        <v>144</v>
      </c>
      <c r="C53" s="5" t="s">
        <v>100</v>
      </c>
      <c r="D53" s="5" t="s">
        <v>1576</v>
      </c>
      <c r="E53" s="5" t="s">
        <v>1577</v>
      </c>
      <c r="F53" s="5" t="s">
        <v>296</v>
      </c>
      <c r="G53" s="5" t="s">
        <v>1578</v>
      </c>
      <c r="H53" s="5" t="s">
        <v>1579</v>
      </c>
      <c r="I53" s="5" t="s">
        <v>88</v>
      </c>
      <c r="J53" s="5" t="s">
        <v>271</v>
      </c>
      <c r="K53" s="5" t="s">
        <v>1580</v>
      </c>
      <c r="L53" s="5" t="s">
        <v>32</v>
      </c>
      <c r="M53" s="5" t="s">
        <v>197</v>
      </c>
      <c r="N53" s="5" t="s">
        <v>28</v>
      </c>
      <c r="O53" s="5"/>
      <c r="P53" s="5"/>
    </row>
    <row r="54" customFormat="false" ht="27.75" hidden="false" customHeight="true" outlineLevel="0" collapsed="false">
      <c r="A54" s="5" t="s">
        <v>1581</v>
      </c>
      <c r="B54" s="5" t="s">
        <v>145</v>
      </c>
      <c r="C54" s="5" t="s">
        <v>100</v>
      </c>
      <c r="D54" s="5" t="s">
        <v>1582</v>
      </c>
      <c r="E54" s="5" t="s">
        <v>1583</v>
      </c>
      <c r="F54" s="5" t="s">
        <v>1584</v>
      </c>
      <c r="G54" s="5" t="s">
        <v>1585</v>
      </c>
      <c r="H54" s="5" t="s">
        <v>1586</v>
      </c>
      <c r="I54" s="5" t="s">
        <v>90</v>
      </c>
      <c r="J54" s="5" t="s">
        <v>195</v>
      </c>
      <c r="K54" s="5"/>
      <c r="L54" s="5" t="s">
        <v>95</v>
      </c>
      <c r="M54" s="5"/>
      <c r="N54" s="5"/>
      <c r="O54" s="5"/>
      <c r="P54" s="5"/>
    </row>
    <row r="55" customFormat="false" ht="27.75" hidden="false" customHeight="true" outlineLevel="0" collapsed="false">
      <c r="A55" s="5" t="s">
        <v>1587</v>
      </c>
      <c r="B55" s="5" t="s">
        <v>145</v>
      </c>
      <c r="C55" s="5" t="s">
        <v>100</v>
      </c>
      <c r="D55" s="5" t="s">
        <v>1588</v>
      </c>
      <c r="E55" s="5" t="s">
        <v>1589</v>
      </c>
      <c r="F55" s="5" t="s">
        <v>296</v>
      </c>
      <c r="G55" s="5" t="s">
        <v>1590</v>
      </c>
      <c r="H55" s="5" t="s">
        <v>1591</v>
      </c>
      <c r="I55" s="5" t="s">
        <v>89</v>
      </c>
      <c r="J55" s="5" t="s">
        <v>271</v>
      </c>
      <c r="K55" s="5"/>
      <c r="L55" s="5" t="s">
        <v>95</v>
      </c>
      <c r="M55" s="5"/>
      <c r="N55" s="5"/>
      <c r="O55" s="5"/>
      <c r="P55" s="5"/>
    </row>
    <row r="56" customFormat="false" ht="27.75" hidden="false" customHeight="true" outlineLevel="0" collapsed="false">
      <c r="A56" s="5" t="s">
        <v>1592</v>
      </c>
      <c r="B56" s="5" t="s">
        <v>146</v>
      </c>
      <c r="C56" s="5" t="s">
        <v>100</v>
      </c>
      <c r="D56" s="5" t="s">
        <v>1593</v>
      </c>
      <c r="E56" s="5" t="s">
        <v>1594</v>
      </c>
      <c r="F56" s="5" t="s">
        <v>296</v>
      </c>
      <c r="G56" s="5" t="s">
        <v>1595</v>
      </c>
      <c r="H56" s="5" t="s">
        <v>1596</v>
      </c>
      <c r="I56" s="5" t="s">
        <v>89</v>
      </c>
      <c r="J56" s="5" t="s">
        <v>195</v>
      </c>
      <c r="K56" s="5"/>
      <c r="L56" s="5" t="s">
        <v>95</v>
      </c>
      <c r="M56" s="5"/>
      <c r="N56" s="5"/>
      <c r="O56" s="5"/>
      <c r="P56" s="5"/>
    </row>
    <row r="57" customFormat="false" ht="27.75" hidden="false" customHeight="true" outlineLevel="0" collapsed="false">
      <c r="A57" s="5" t="s">
        <v>1597</v>
      </c>
      <c r="B57" s="5" t="s">
        <v>146</v>
      </c>
      <c r="C57" s="5" t="s">
        <v>100</v>
      </c>
      <c r="D57" s="5" t="s">
        <v>1598</v>
      </c>
      <c r="E57" s="5" t="s">
        <v>1599</v>
      </c>
      <c r="F57" s="5" t="s">
        <v>296</v>
      </c>
      <c r="G57" s="5" t="s">
        <v>1600</v>
      </c>
      <c r="H57" s="5" t="s">
        <v>1601</v>
      </c>
      <c r="I57" s="5" t="s">
        <v>90</v>
      </c>
      <c r="J57" s="5" t="s">
        <v>195</v>
      </c>
      <c r="K57" s="5"/>
      <c r="L57" s="5" t="s">
        <v>95</v>
      </c>
      <c r="M57" s="5"/>
      <c r="N57" s="5"/>
      <c r="O57" s="5"/>
      <c r="P57" s="5"/>
    </row>
    <row r="58" customFormat="false" ht="27.75" hidden="false" customHeight="true" outlineLevel="0" collapsed="false">
      <c r="A58" s="5" t="s">
        <v>1602</v>
      </c>
      <c r="B58" s="5" t="s">
        <v>146</v>
      </c>
      <c r="C58" s="5" t="s">
        <v>100</v>
      </c>
      <c r="D58" s="5" t="s">
        <v>1603</v>
      </c>
      <c r="E58" s="5" t="s">
        <v>1604</v>
      </c>
      <c r="F58" s="5" t="s">
        <v>296</v>
      </c>
      <c r="G58" s="5" t="s">
        <v>1595</v>
      </c>
      <c r="H58" s="5" t="s">
        <v>1605</v>
      </c>
      <c r="I58" s="5" t="s">
        <v>90</v>
      </c>
      <c r="J58" s="5" t="s">
        <v>195</v>
      </c>
      <c r="K58" s="5"/>
      <c r="L58" s="5" t="s">
        <v>95</v>
      </c>
      <c r="M58" s="5"/>
      <c r="N58" s="5"/>
      <c r="O58" s="5"/>
      <c r="P58" s="5"/>
    </row>
    <row r="59" customFormat="false" ht="41.25" hidden="false" customHeight="true" outlineLevel="0" collapsed="false">
      <c r="A59" s="5" t="s">
        <v>1606</v>
      </c>
      <c r="B59" s="5" t="s">
        <v>147</v>
      </c>
      <c r="C59" s="5" t="s">
        <v>100</v>
      </c>
      <c r="D59" s="5" t="s">
        <v>1607</v>
      </c>
      <c r="E59" s="5" t="s">
        <v>1303</v>
      </c>
      <c r="F59" s="5" t="s">
        <v>1608</v>
      </c>
      <c r="G59" s="5" t="s">
        <v>1609</v>
      </c>
      <c r="H59" s="5" t="s">
        <v>1610</v>
      </c>
      <c r="I59" s="5" t="s">
        <v>90</v>
      </c>
      <c r="J59" s="5" t="s">
        <v>195</v>
      </c>
      <c r="K59" s="5"/>
      <c r="L59" s="5" t="s">
        <v>95</v>
      </c>
      <c r="M59" s="5"/>
      <c r="N59" s="5"/>
      <c r="O59" s="5"/>
      <c r="P59" s="5"/>
    </row>
    <row r="60" customFormat="false" ht="41.25" hidden="false" customHeight="true" outlineLevel="0" collapsed="false">
      <c r="A60" s="5" t="s">
        <v>1611</v>
      </c>
      <c r="B60" s="5" t="s">
        <v>147</v>
      </c>
      <c r="C60" s="5" t="s">
        <v>100</v>
      </c>
      <c r="D60" s="5" t="s">
        <v>1612</v>
      </c>
      <c r="E60" s="5" t="s">
        <v>1613</v>
      </c>
      <c r="F60" s="5" t="s">
        <v>1614</v>
      </c>
      <c r="G60" s="5" t="s">
        <v>1615</v>
      </c>
      <c r="H60" s="5" t="s">
        <v>1616</v>
      </c>
      <c r="I60" s="5" t="s">
        <v>90</v>
      </c>
      <c r="J60" s="5" t="s">
        <v>195</v>
      </c>
      <c r="K60" s="5"/>
      <c r="L60" s="5" t="s">
        <v>95</v>
      </c>
      <c r="M60" s="5"/>
      <c r="N60" s="5"/>
      <c r="O60" s="5"/>
      <c r="P60" s="5"/>
    </row>
    <row r="61" customFormat="false" ht="41.25" hidden="false" customHeight="true" outlineLevel="0" collapsed="false">
      <c r="A61" s="5" t="s">
        <v>1617</v>
      </c>
      <c r="B61" s="5" t="s">
        <v>147</v>
      </c>
      <c r="C61" s="5" t="s">
        <v>100</v>
      </c>
      <c r="D61" s="5" t="s">
        <v>1618</v>
      </c>
      <c r="E61" s="5" t="s">
        <v>1619</v>
      </c>
      <c r="F61" s="5" t="s">
        <v>296</v>
      </c>
      <c r="G61" s="5" t="s">
        <v>1620</v>
      </c>
      <c r="H61" s="5" t="s">
        <v>1621</v>
      </c>
      <c r="I61" s="5" t="s">
        <v>90</v>
      </c>
      <c r="J61" s="5" t="s">
        <v>195</v>
      </c>
      <c r="K61" s="5"/>
      <c r="L61" s="5" t="s">
        <v>95</v>
      </c>
      <c r="M61" s="5"/>
      <c r="N61" s="5"/>
      <c r="O61" s="5"/>
      <c r="P61" s="5"/>
    </row>
    <row r="62" customFormat="false" ht="27.75" hidden="false" customHeight="true" outlineLevel="0" collapsed="false">
      <c r="A62" s="5" t="s">
        <v>1622</v>
      </c>
      <c r="B62" s="5" t="s">
        <v>147</v>
      </c>
      <c r="C62" s="5" t="s">
        <v>100</v>
      </c>
      <c r="D62" s="5" t="s">
        <v>1623</v>
      </c>
      <c r="E62" s="5" t="s">
        <v>1624</v>
      </c>
      <c r="F62" s="5" t="s">
        <v>296</v>
      </c>
      <c r="G62" s="5" t="s">
        <v>1625</v>
      </c>
      <c r="H62" s="5" t="s">
        <v>1626</v>
      </c>
      <c r="I62" s="5" t="s">
        <v>90</v>
      </c>
      <c r="J62" s="5" t="s">
        <v>210</v>
      </c>
      <c r="K62" s="5"/>
      <c r="L62" s="5" t="s">
        <v>95</v>
      </c>
      <c r="M62" s="5"/>
      <c r="N62" s="5"/>
      <c r="O62" s="5"/>
      <c r="P62" s="5"/>
    </row>
    <row r="63" customFormat="false" ht="27.75" hidden="false" customHeight="true" outlineLevel="0" collapsed="false">
      <c r="A63" s="5" t="s">
        <v>1627</v>
      </c>
      <c r="B63" s="5" t="s">
        <v>147</v>
      </c>
      <c r="C63" s="5" t="s">
        <v>100</v>
      </c>
      <c r="D63" s="5" t="s">
        <v>1628</v>
      </c>
      <c r="E63" s="5" t="s">
        <v>750</v>
      </c>
      <c r="F63" s="5" t="s">
        <v>215</v>
      </c>
      <c r="G63" s="5" t="s">
        <v>1629</v>
      </c>
      <c r="H63" s="5" t="s">
        <v>1630</v>
      </c>
      <c r="I63" s="5" t="s">
        <v>90</v>
      </c>
      <c r="J63" s="5" t="s">
        <v>218</v>
      </c>
      <c r="K63" s="5"/>
      <c r="L63" s="5" t="s">
        <v>95</v>
      </c>
      <c r="M63" s="5"/>
      <c r="N63" s="5"/>
      <c r="O63" s="5"/>
      <c r="P63" s="5"/>
    </row>
    <row r="64" customFormat="false" ht="27.75" hidden="false" customHeight="true" outlineLevel="0" collapsed="false">
      <c r="A64" s="5" t="s">
        <v>1631</v>
      </c>
      <c r="B64" s="5" t="s">
        <v>147</v>
      </c>
      <c r="C64" s="5" t="s">
        <v>100</v>
      </c>
      <c r="D64" s="5" t="s">
        <v>1632</v>
      </c>
      <c r="E64" s="5" t="s">
        <v>750</v>
      </c>
      <c r="F64" s="5" t="s">
        <v>1633</v>
      </c>
      <c r="G64" s="5" t="s">
        <v>1634</v>
      </c>
      <c r="H64" s="5" t="s">
        <v>1635</v>
      </c>
      <c r="I64" s="5" t="s">
        <v>90</v>
      </c>
      <c r="J64" s="5" t="s">
        <v>218</v>
      </c>
      <c r="K64" s="5"/>
      <c r="L64" s="5" t="s">
        <v>95</v>
      </c>
      <c r="M64" s="5"/>
      <c r="N64" s="5"/>
      <c r="O64" s="5"/>
      <c r="P64" s="5"/>
    </row>
    <row r="65" customFormat="false" ht="27.75" hidden="false" customHeight="true" outlineLevel="0" collapsed="false">
      <c r="A65" s="5" t="s">
        <v>1636</v>
      </c>
      <c r="B65" s="5" t="s">
        <v>147</v>
      </c>
      <c r="C65" s="5" t="s">
        <v>100</v>
      </c>
      <c r="D65" s="5" t="s">
        <v>1637</v>
      </c>
      <c r="E65" s="5" t="s">
        <v>1638</v>
      </c>
      <c r="F65" s="5" t="s">
        <v>296</v>
      </c>
      <c r="G65" s="5" t="s">
        <v>1639</v>
      </c>
      <c r="H65" s="5" t="s">
        <v>1640</v>
      </c>
      <c r="I65" s="5" t="s">
        <v>90</v>
      </c>
      <c r="J65" s="5" t="s">
        <v>195</v>
      </c>
      <c r="K65" s="5"/>
      <c r="L65" s="5" t="s">
        <v>95</v>
      </c>
      <c r="M65" s="5"/>
      <c r="N65" s="5"/>
      <c r="O65" s="5"/>
      <c r="P65" s="5"/>
    </row>
    <row r="66" customFormat="false" ht="27.75" hidden="false" customHeight="true" outlineLevel="0" collapsed="false">
      <c r="A66" s="5" t="s">
        <v>1641</v>
      </c>
      <c r="B66" s="5" t="s">
        <v>147</v>
      </c>
      <c r="C66" s="5" t="s">
        <v>100</v>
      </c>
      <c r="D66" s="5" t="s">
        <v>1642</v>
      </c>
      <c r="E66" s="5" t="s">
        <v>1643</v>
      </c>
      <c r="F66" s="5" t="s">
        <v>1644</v>
      </c>
      <c r="G66" s="5" t="s">
        <v>1645</v>
      </c>
      <c r="H66" s="5" t="s">
        <v>1646</v>
      </c>
      <c r="I66" s="5" t="s">
        <v>90</v>
      </c>
      <c r="J66" s="5" t="s">
        <v>242</v>
      </c>
      <c r="K66" s="5"/>
      <c r="L66" s="5" t="s">
        <v>95</v>
      </c>
      <c r="M66" s="5"/>
      <c r="N66" s="5"/>
      <c r="O66" s="5"/>
      <c r="P66" s="5"/>
    </row>
    <row r="67" customFormat="false" ht="27.75" hidden="false" customHeight="true" outlineLevel="0" collapsed="false">
      <c r="A67" s="5" t="s">
        <v>1647</v>
      </c>
      <c r="B67" s="5" t="s">
        <v>147</v>
      </c>
      <c r="C67" s="5" t="s">
        <v>100</v>
      </c>
      <c r="D67" s="5" t="s">
        <v>1648</v>
      </c>
      <c r="E67" s="5" t="s">
        <v>1649</v>
      </c>
      <c r="F67" s="5" t="s">
        <v>296</v>
      </c>
      <c r="G67" s="5" t="s">
        <v>1625</v>
      </c>
      <c r="H67" s="5" t="s">
        <v>1650</v>
      </c>
      <c r="I67" s="5" t="s">
        <v>90</v>
      </c>
      <c r="J67" s="5" t="s">
        <v>242</v>
      </c>
      <c r="K67" s="5"/>
      <c r="L67" s="5" t="s">
        <v>95</v>
      </c>
      <c r="M67" s="5"/>
      <c r="N67" s="5"/>
      <c r="O67" s="5"/>
      <c r="P67" s="5"/>
    </row>
    <row r="68" customFormat="false" ht="27.75" hidden="false" customHeight="true" outlineLevel="0" collapsed="false">
      <c r="A68" s="5" t="s">
        <v>1651</v>
      </c>
      <c r="B68" s="5" t="s">
        <v>147</v>
      </c>
      <c r="C68" s="5" t="s">
        <v>100</v>
      </c>
      <c r="D68" s="5" t="s">
        <v>1652</v>
      </c>
      <c r="E68" s="5" t="s">
        <v>1653</v>
      </c>
      <c r="F68" s="5" t="s">
        <v>296</v>
      </c>
      <c r="G68" s="5" t="s">
        <v>1654</v>
      </c>
      <c r="H68" s="5" t="s">
        <v>1655</v>
      </c>
      <c r="I68" s="5" t="s">
        <v>90</v>
      </c>
      <c r="J68" s="5" t="s">
        <v>195</v>
      </c>
      <c r="K68" s="5"/>
      <c r="L68" s="5" t="s">
        <v>95</v>
      </c>
      <c r="M68" s="5"/>
      <c r="N68" s="5"/>
      <c r="O68" s="5"/>
      <c r="P68" s="5"/>
    </row>
    <row r="69" customFormat="false" ht="27.75" hidden="false" customHeight="true" outlineLevel="0" collapsed="false">
      <c r="A69" s="5" t="s">
        <v>1656</v>
      </c>
      <c r="B69" s="5" t="s">
        <v>147</v>
      </c>
      <c r="C69" s="5" t="s">
        <v>100</v>
      </c>
      <c r="D69" s="5" t="s">
        <v>1657</v>
      </c>
      <c r="E69" s="5" t="s">
        <v>1427</v>
      </c>
      <c r="F69" s="5" t="s">
        <v>296</v>
      </c>
      <c r="G69" s="5" t="s">
        <v>1658</v>
      </c>
      <c r="H69" s="5" t="s">
        <v>1659</v>
      </c>
      <c r="I69" s="5" t="s">
        <v>90</v>
      </c>
      <c r="J69" s="5" t="s">
        <v>210</v>
      </c>
      <c r="K69" s="5"/>
      <c r="L69" s="5" t="s">
        <v>95</v>
      </c>
      <c r="M69" s="5"/>
      <c r="N69" s="5"/>
      <c r="O69" s="5"/>
      <c r="P69" s="5"/>
    </row>
    <row r="70" customFormat="false" ht="27.75" hidden="false" customHeight="true" outlineLevel="0" collapsed="false">
      <c r="A70" s="5" t="s">
        <v>1660</v>
      </c>
      <c r="B70" s="5" t="s">
        <v>147</v>
      </c>
      <c r="C70" s="5" t="s">
        <v>100</v>
      </c>
      <c r="D70" s="5" t="s">
        <v>1661</v>
      </c>
      <c r="E70" s="5" t="s">
        <v>1662</v>
      </c>
      <c r="F70" s="5" t="s">
        <v>296</v>
      </c>
      <c r="G70" s="5" t="s">
        <v>1663</v>
      </c>
      <c r="H70" s="5" t="s">
        <v>1664</v>
      </c>
      <c r="I70" s="5" t="s">
        <v>90</v>
      </c>
      <c r="J70" s="5" t="s">
        <v>210</v>
      </c>
      <c r="K70" s="5"/>
      <c r="L70" s="5" t="s">
        <v>95</v>
      </c>
      <c r="M70" s="5"/>
      <c r="N70" s="5"/>
      <c r="O70" s="5"/>
      <c r="P70" s="5"/>
    </row>
    <row r="71" customFormat="false" ht="27.75" hidden="false" customHeight="true" outlineLevel="0" collapsed="false">
      <c r="A71" s="5" t="s">
        <v>1665</v>
      </c>
      <c r="B71" s="5" t="s">
        <v>147</v>
      </c>
      <c r="C71" s="5" t="s">
        <v>100</v>
      </c>
      <c r="D71" s="5" t="s">
        <v>1666</v>
      </c>
      <c r="E71" s="5" t="s">
        <v>1667</v>
      </c>
      <c r="F71" s="5" t="s">
        <v>296</v>
      </c>
      <c r="G71" s="5" t="s">
        <v>1668</v>
      </c>
      <c r="H71" s="5" t="s">
        <v>1669</v>
      </c>
      <c r="I71" s="5" t="s">
        <v>90</v>
      </c>
      <c r="J71" s="5" t="s">
        <v>195</v>
      </c>
      <c r="K71" s="5"/>
      <c r="L71" s="5" t="s">
        <v>95</v>
      </c>
      <c r="M71" s="5"/>
      <c r="N71" s="5"/>
      <c r="O71" s="5"/>
      <c r="P71" s="5"/>
    </row>
    <row r="72" customFormat="false" ht="41.25" hidden="false" customHeight="true" outlineLevel="0" collapsed="false">
      <c r="A72" s="5" t="s">
        <v>1670</v>
      </c>
      <c r="B72" s="5" t="s">
        <v>147</v>
      </c>
      <c r="C72" s="5" t="s">
        <v>100</v>
      </c>
      <c r="D72" s="5" t="s">
        <v>1671</v>
      </c>
      <c r="E72" s="5" t="s">
        <v>1672</v>
      </c>
      <c r="F72" s="5" t="s">
        <v>296</v>
      </c>
      <c r="G72" s="5" t="s">
        <v>1673</v>
      </c>
      <c r="H72" s="5" t="s">
        <v>1674</v>
      </c>
      <c r="I72" s="5" t="s">
        <v>90</v>
      </c>
      <c r="J72" s="5" t="s">
        <v>185</v>
      </c>
      <c r="K72" s="5"/>
      <c r="L72" s="5" t="s">
        <v>95</v>
      </c>
      <c r="M72" s="5"/>
      <c r="N72" s="5"/>
      <c r="O72" s="5"/>
      <c r="P72" s="5"/>
    </row>
    <row r="73" customFormat="false" ht="27.75" hidden="false" customHeight="true" outlineLevel="0" collapsed="false">
      <c r="A73" s="5" t="s">
        <v>1675</v>
      </c>
      <c r="B73" s="5" t="s">
        <v>147</v>
      </c>
      <c r="C73" s="5" t="s">
        <v>100</v>
      </c>
      <c r="D73" s="5" t="s">
        <v>1676</v>
      </c>
      <c r="E73" s="5" t="s">
        <v>1677</v>
      </c>
      <c r="F73" s="5" t="s">
        <v>296</v>
      </c>
      <c r="G73" s="5" t="s">
        <v>1678</v>
      </c>
      <c r="H73" s="5" t="s">
        <v>1679</v>
      </c>
      <c r="I73" s="5" t="s">
        <v>90</v>
      </c>
      <c r="J73" s="5" t="s">
        <v>195</v>
      </c>
      <c r="K73" s="5"/>
      <c r="L73" s="5" t="s">
        <v>95</v>
      </c>
      <c r="M73" s="5"/>
      <c r="N73" s="5"/>
      <c r="O73" s="5"/>
      <c r="P73" s="5"/>
    </row>
    <row r="74" customFormat="false" ht="27.75" hidden="false" customHeight="true" outlineLevel="0" collapsed="false">
      <c r="A74" s="5" t="s">
        <v>1680</v>
      </c>
      <c r="B74" s="5" t="s">
        <v>147</v>
      </c>
      <c r="C74" s="5" t="s">
        <v>100</v>
      </c>
      <c r="D74" s="5" t="s">
        <v>1681</v>
      </c>
      <c r="E74" s="5" t="s">
        <v>1677</v>
      </c>
      <c r="F74" s="5" t="s">
        <v>296</v>
      </c>
      <c r="G74" s="5" t="s">
        <v>1682</v>
      </c>
      <c r="H74" s="5" t="s">
        <v>1683</v>
      </c>
      <c r="I74" s="5" t="s">
        <v>90</v>
      </c>
      <c r="J74" s="5" t="s">
        <v>195</v>
      </c>
      <c r="K74" s="5"/>
      <c r="L74" s="5" t="s">
        <v>95</v>
      </c>
      <c r="M74" s="5"/>
      <c r="N74" s="5"/>
      <c r="O74" s="5"/>
      <c r="P74" s="5"/>
    </row>
    <row r="75" customFormat="false" ht="27.75" hidden="false" customHeight="true" outlineLevel="0" collapsed="false">
      <c r="A75" s="5" t="s">
        <v>1684</v>
      </c>
      <c r="B75" s="5" t="s">
        <v>147</v>
      </c>
      <c r="C75" s="5" t="s">
        <v>100</v>
      </c>
      <c r="D75" s="5" t="s">
        <v>1685</v>
      </c>
      <c r="E75" s="5" t="s">
        <v>750</v>
      </c>
      <c r="F75" s="5" t="s">
        <v>1686</v>
      </c>
      <c r="G75" s="5" t="s">
        <v>1687</v>
      </c>
      <c r="H75" s="5" t="s">
        <v>781</v>
      </c>
      <c r="I75" s="5" t="s">
        <v>90</v>
      </c>
      <c r="J75" s="5" t="s">
        <v>271</v>
      </c>
      <c r="K75" s="5"/>
      <c r="L75" s="5" t="s">
        <v>95</v>
      </c>
      <c r="M75" s="5"/>
      <c r="N75" s="5"/>
      <c r="O75" s="5"/>
      <c r="P75" s="5"/>
    </row>
    <row r="76" customFormat="false" ht="41.25" hidden="false" customHeight="true" outlineLevel="0" collapsed="false">
      <c r="A76" s="5" t="s">
        <v>1688</v>
      </c>
      <c r="B76" s="5" t="s">
        <v>148</v>
      </c>
      <c r="C76" s="5" t="s">
        <v>100</v>
      </c>
      <c r="D76" s="5" t="s">
        <v>1689</v>
      </c>
      <c r="E76" s="5" t="s">
        <v>1690</v>
      </c>
      <c r="F76" s="5" t="s">
        <v>1691</v>
      </c>
      <c r="G76" s="5" t="s">
        <v>1692</v>
      </c>
      <c r="H76" s="5" t="s">
        <v>1693</v>
      </c>
      <c r="I76" s="5" t="s">
        <v>89</v>
      </c>
      <c r="J76" s="5" t="s">
        <v>195</v>
      </c>
      <c r="K76" s="5" t="s">
        <v>1694</v>
      </c>
      <c r="L76" s="5" t="s">
        <v>32</v>
      </c>
      <c r="M76" s="5" t="s">
        <v>197</v>
      </c>
      <c r="N76" s="5" t="s">
        <v>28</v>
      </c>
      <c r="O76" s="5"/>
      <c r="P76" s="5"/>
    </row>
    <row r="77" customFormat="false" ht="41.25" hidden="false" customHeight="true" outlineLevel="0" collapsed="false">
      <c r="A77" s="5" t="s">
        <v>1695</v>
      </c>
      <c r="B77" s="5" t="s">
        <v>148</v>
      </c>
      <c r="C77" s="5" t="s">
        <v>100</v>
      </c>
      <c r="D77" s="5" t="s">
        <v>1696</v>
      </c>
      <c r="E77" s="5" t="s">
        <v>1697</v>
      </c>
      <c r="F77" s="5" t="s">
        <v>296</v>
      </c>
      <c r="G77" s="5" t="s">
        <v>1698</v>
      </c>
      <c r="H77" s="5" t="s">
        <v>1699</v>
      </c>
      <c r="I77" s="5" t="s">
        <v>89</v>
      </c>
      <c r="J77" s="5" t="s">
        <v>195</v>
      </c>
      <c r="K77" s="5" t="s">
        <v>1700</v>
      </c>
      <c r="L77" s="5" t="s">
        <v>32</v>
      </c>
      <c r="M77" s="5" t="s">
        <v>197</v>
      </c>
      <c r="N77" s="5" t="s">
        <v>28</v>
      </c>
      <c r="O77" s="5"/>
      <c r="P77" s="5"/>
    </row>
    <row r="78" customFormat="false" ht="54.75" hidden="false" customHeight="true" outlineLevel="0" collapsed="false">
      <c r="A78" s="5" t="s">
        <v>1701</v>
      </c>
      <c r="B78" s="5" t="s">
        <v>148</v>
      </c>
      <c r="C78" s="5" t="s">
        <v>100</v>
      </c>
      <c r="D78" s="5" t="s">
        <v>1702</v>
      </c>
      <c r="E78" s="5" t="s">
        <v>1703</v>
      </c>
      <c r="F78" s="5" t="s">
        <v>1704</v>
      </c>
      <c r="G78" s="5" t="s">
        <v>1705</v>
      </c>
      <c r="H78" s="5" t="s">
        <v>1706</v>
      </c>
      <c r="I78" s="5" t="s">
        <v>88</v>
      </c>
      <c r="J78" s="5" t="s">
        <v>210</v>
      </c>
      <c r="K78" s="5" t="s">
        <v>1707</v>
      </c>
      <c r="L78" s="5" t="s">
        <v>32</v>
      </c>
      <c r="M78" s="5" t="s">
        <v>197</v>
      </c>
      <c r="N78" s="5" t="s">
        <v>28</v>
      </c>
      <c r="O78" s="5"/>
      <c r="P78" s="5"/>
    </row>
    <row r="79" customFormat="false" ht="27.75" hidden="false" customHeight="true" outlineLevel="0" collapsed="false">
      <c r="A79" s="5" t="s">
        <v>1708</v>
      </c>
      <c r="B79" s="5" t="s">
        <v>148</v>
      </c>
      <c r="C79" s="5" t="s">
        <v>100</v>
      </c>
      <c r="D79" s="5" t="s">
        <v>1709</v>
      </c>
      <c r="E79" s="5" t="s">
        <v>1710</v>
      </c>
      <c r="F79" s="5" t="s">
        <v>296</v>
      </c>
      <c r="G79" s="5" t="s">
        <v>1711</v>
      </c>
      <c r="H79" s="5" t="s">
        <v>1025</v>
      </c>
      <c r="I79" s="5" t="s">
        <v>90</v>
      </c>
      <c r="J79" s="5" t="s">
        <v>185</v>
      </c>
      <c r="K79" s="5"/>
      <c r="L79" s="5" t="s">
        <v>95</v>
      </c>
      <c r="M79" s="5"/>
      <c r="N79" s="5"/>
      <c r="O79" s="5"/>
      <c r="P79" s="5"/>
    </row>
    <row r="80" customFormat="false" ht="27.75" hidden="false" customHeight="true" outlineLevel="0" collapsed="false">
      <c r="A80" s="5" t="s">
        <v>1712</v>
      </c>
      <c r="B80" s="5" t="s">
        <v>148</v>
      </c>
      <c r="C80" s="5" t="s">
        <v>100</v>
      </c>
      <c r="D80" s="5" t="s">
        <v>1713</v>
      </c>
      <c r="E80" s="5" t="s">
        <v>1714</v>
      </c>
      <c r="F80" s="5" t="s">
        <v>296</v>
      </c>
      <c r="G80" s="5" t="s">
        <v>1715</v>
      </c>
      <c r="H80" s="5" t="s">
        <v>1716</v>
      </c>
      <c r="I80" s="5" t="s">
        <v>90</v>
      </c>
      <c r="J80" s="5" t="s">
        <v>195</v>
      </c>
      <c r="K80" s="5"/>
      <c r="L80" s="5" t="s">
        <v>95</v>
      </c>
      <c r="M80" s="5"/>
      <c r="N80" s="5"/>
      <c r="O80" s="5"/>
      <c r="P80" s="5"/>
    </row>
    <row r="81" customFormat="false" ht="27.75" hidden="false" customHeight="true" outlineLevel="0" collapsed="false">
      <c r="A81" s="5" t="s">
        <v>1717</v>
      </c>
      <c r="B81" s="5" t="s">
        <v>148</v>
      </c>
      <c r="C81" s="5" t="s">
        <v>100</v>
      </c>
      <c r="D81" s="5" t="s">
        <v>1718</v>
      </c>
      <c r="E81" s="5" t="s">
        <v>1719</v>
      </c>
      <c r="F81" s="5" t="s">
        <v>296</v>
      </c>
      <c r="G81" s="5" t="s">
        <v>1720</v>
      </c>
      <c r="H81" s="5" t="s">
        <v>1721</v>
      </c>
      <c r="I81" s="5" t="s">
        <v>89</v>
      </c>
      <c r="J81" s="5" t="s">
        <v>210</v>
      </c>
      <c r="K81" s="5" t="s">
        <v>1722</v>
      </c>
      <c r="L81" s="5" t="s">
        <v>32</v>
      </c>
      <c r="M81" s="5" t="s">
        <v>197</v>
      </c>
      <c r="N81" s="5" t="s">
        <v>28</v>
      </c>
      <c r="O81" s="5"/>
      <c r="P81" s="5"/>
    </row>
    <row r="82" customFormat="false" ht="27.75" hidden="false" customHeight="true" outlineLevel="0" collapsed="false">
      <c r="A82" s="5" t="s">
        <v>1723</v>
      </c>
      <c r="B82" s="5" t="s">
        <v>149</v>
      </c>
      <c r="C82" s="5" t="s">
        <v>100</v>
      </c>
      <c r="D82" s="5" t="s">
        <v>1724</v>
      </c>
      <c r="E82" s="5" t="s">
        <v>1725</v>
      </c>
      <c r="F82" s="5" t="s">
        <v>296</v>
      </c>
      <c r="G82" s="5" t="s">
        <v>1726</v>
      </c>
      <c r="H82" s="5" t="s">
        <v>1727</v>
      </c>
      <c r="I82" s="5" t="s">
        <v>90</v>
      </c>
      <c r="J82" s="5" t="s">
        <v>195</v>
      </c>
      <c r="K82" s="5"/>
      <c r="L82" s="5" t="s">
        <v>95</v>
      </c>
      <c r="M82" s="5"/>
      <c r="N82" s="5"/>
      <c r="O82" s="5"/>
      <c r="P82" s="5"/>
    </row>
    <row r="83" customFormat="false" ht="54.75" hidden="false" customHeight="true" outlineLevel="0" collapsed="false">
      <c r="A83" s="5" t="s">
        <v>1728</v>
      </c>
      <c r="B83" s="5" t="s">
        <v>149</v>
      </c>
      <c r="C83" s="5" t="s">
        <v>100</v>
      </c>
      <c r="D83" s="5" t="s">
        <v>1729</v>
      </c>
      <c r="E83" s="5" t="s">
        <v>1730</v>
      </c>
      <c r="F83" s="5" t="s">
        <v>1731</v>
      </c>
      <c r="G83" s="5" t="s">
        <v>1732</v>
      </c>
      <c r="H83" s="5" t="s">
        <v>1733</v>
      </c>
      <c r="I83" s="5" t="s">
        <v>90</v>
      </c>
      <c r="J83" s="5" t="s">
        <v>195</v>
      </c>
      <c r="K83" s="5"/>
      <c r="L83" s="5" t="s">
        <v>95</v>
      </c>
      <c r="M83" s="5"/>
      <c r="N83" s="5"/>
      <c r="O83" s="5"/>
      <c r="P83" s="5"/>
    </row>
    <row r="84" customFormat="false" ht="27.75" hidden="false" customHeight="true" outlineLevel="0" collapsed="false">
      <c r="A84" s="5" t="s">
        <v>1734</v>
      </c>
      <c r="B84" s="5" t="s">
        <v>149</v>
      </c>
      <c r="C84" s="5" t="s">
        <v>100</v>
      </c>
      <c r="D84" s="5" t="s">
        <v>1735</v>
      </c>
      <c r="E84" s="5" t="s">
        <v>1736</v>
      </c>
      <c r="F84" s="5" t="s">
        <v>296</v>
      </c>
      <c r="G84" s="5" t="s">
        <v>1737</v>
      </c>
      <c r="H84" s="5" t="s">
        <v>1738</v>
      </c>
      <c r="I84" s="5" t="s">
        <v>89</v>
      </c>
      <c r="J84" s="5" t="s">
        <v>210</v>
      </c>
      <c r="K84" s="5" t="s">
        <v>1739</v>
      </c>
      <c r="L84" s="5" t="s">
        <v>32</v>
      </c>
      <c r="M84" s="5" t="s">
        <v>197</v>
      </c>
      <c r="N84" s="5" t="s">
        <v>28</v>
      </c>
      <c r="O84" s="5"/>
      <c r="P84" s="5"/>
    </row>
    <row r="85" customFormat="false" ht="27.75" hidden="false" customHeight="true" outlineLevel="0" collapsed="false">
      <c r="A85" s="5" t="s">
        <v>1740</v>
      </c>
      <c r="B85" s="5" t="s">
        <v>149</v>
      </c>
      <c r="C85" s="5" t="s">
        <v>100</v>
      </c>
      <c r="D85" s="5" t="s">
        <v>1741</v>
      </c>
      <c r="E85" s="5" t="s">
        <v>1742</v>
      </c>
      <c r="F85" s="5" t="s">
        <v>1743</v>
      </c>
      <c r="G85" s="5" t="s">
        <v>1744</v>
      </c>
      <c r="H85" s="5" t="s">
        <v>1745</v>
      </c>
      <c r="I85" s="5" t="s">
        <v>90</v>
      </c>
      <c r="J85" s="5" t="s">
        <v>195</v>
      </c>
      <c r="K85" s="5"/>
      <c r="L85" s="5" t="s">
        <v>95</v>
      </c>
      <c r="M85" s="5"/>
      <c r="N85" s="5"/>
      <c r="O85" s="5"/>
      <c r="P85" s="5"/>
    </row>
    <row r="86" customFormat="false" ht="27.75" hidden="false" customHeight="true" outlineLevel="0" collapsed="false">
      <c r="A86" s="5" t="s">
        <v>1746</v>
      </c>
      <c r="B86" s="5" t="s">
        <v>149</v>
      </c>
      <c r="C86" s="5" t="s">
        <v>100</v>
      </c>
      <c r="D86" s="5" t="s">
        <v>1747</v>
      </c>
      <c r="E86" s="5" t="s">
        <v>1748</v>
      </c>
      <c r="F86" s="5" t="s">
        <v>296</v>
      </c>
      <c r="G86" s="5" t="s">
        <v>1749</v>
      </c>
      <c r="H86" s="5" t="s">
        <v>1750</v>
      </c>
      <c r="I86" s="5" t="s">
        <v>90</v>
      </c>
      <c r="J86" s="5" t="s">
        <v>210</v>
      </c>
      <c r="K86" s="5"/>
      <c r="L86" s="5" t="s">
        <v>95</v>
      </c>
      <c r="M86" s="5"/>
      <c r="N86" s="5"/>
      <c r="O86" s="5"/>
      <c r="P86" s="5"/>
    </row>
    <row r="87" customFormat="false" ht="41.25" hidden="false" customHeight="true" outlineLevel="0" collapsed="false">
      <c r="A87" s="5" t="s">
        <v>1751</v>
      </c>
      <c r="B87" s="5" t="s">
        <v>150</v>
      </c>
      <c r="C87" s="5" t="s">
        <v>100</v>
      </c>
      <c r="D87" s="5" t="s">
        <v>1752</v>
      </c>
      <c r="E87" s="5" t="s">
        <v>750</v>
      </c>
      <c r="F87" s="5" t="s">
        <v>296</v>
      </c>
      <c r="G87" s="5" t="s">
        <v>1753</v>
      </c>
      <c r="H87" s="5" t="s">
        <v>1754</v>
      </c>
      <c r="I87" s="5" t="s">
        <v>90</v>
      </c>
      <c r="J87" s="5" t="s">
        <v>195</v>
      </c>
      <c r="K87" s="5"/>
      <c r="L87" s="5" t="s">
        <v>95</v>
      </c>
      <c r="M87" s="5"/>
      <c r="N87" s="5"/>
      <c r="O87" s="5"/>
      <c r="P87" s="5"/>
    </row>
    <row r="88" customFormat="false" ht="41.25" hidden="false" customHeight="true" outlineLevel="0" collapsed="false">
      <c r="A88" s="5" t="s">
        <v>1755</v>
      </c>
      <c r="B88" s="5" t="s">
        <v>150</v>
      </c>
      <c r="C88" s="5" t="s">
        <v>100</v>
      </c>
      <c r="D88" s="5" t="s">
        <v>1756</v>
      </c>
      <c r="E88" s="5" t="s">
        <v>1757</v>
      </c>
      <c r="F88" s="5" t="s">
        <v>1758</v>
      </c>
      <c r="G88" s="5" t="s">
        <v>1759</v>
      </c>
      <c r="H88" s="5" t="s">
        <v>1760</v>
      </c>
      <c r="I88" s="5" t="s">
        <v>89</v>
      </c>
      <c r="J88" s="5" t="s">
        <v>195</v>
      </c>
      <c r="K88" s="5" t="s">
        <v>1761</v>
      </c>
      <c r="L88" s="5" t="s">
        <v>32</v>
      </c>
      <c r="M88" s="5" t="s">
        <v>197</v>
      </c>
      <c r="N88" s="5" t="s">
        <v>28</v>
      </c>
      <c r="O88" s="5"/>
      <c r="P88" s="5"/>
    </row>
    <row r="89" customFormat="false" ht="27.75" hidden="false" customHeight="true" outlineLevel="0" collapsed="false">
      <c r="A89" s="5" t="s">
        <v>1762</v>
      </c>
      <c r="B89" s="5" t="s">
        <v>150</v>
      </c>
      <c r="C89" s="5" t="s">
        <v>100</v>
      </c>
      <c r="D89" s="5" t="s">
        <v>1763</v>
      </c>
      <c r="E89" s="5" t="s">
        <v>1764</v>
      </c>
      <c r="F89" s="5" t="s">
        <v>296</v>
      </c>
      <c r="G89" s="5" t="s">
        <v>1765</v>
      </c>
      <c r="H89" s="5" t="s">
        <v>1766</v>
      </c>
      <c r="I89" s="5" t="s">
        <v>89</v>
      </c>
      <c r="J89" s="5" t="s">
        <v>242</v>
      </c>
      <c r="K89" s="5" t="s">
        <v>1767</v>
      </c>
      <c r="L89" s="5" t="s">
        <v>32</v>
      </c>
      <c r="M89" s="5" t="s">
        <v>197</v>
      </c>
      <c r="N89" s="5" t="s">
        <v>28</v>
      </c>
      <c r="O89" s="5"/>
      <c r="P89" s="5"/>
    </row>
    <row r="90" customFormat="false" ht="27.75" hidden="false" customHeight="true" outlineLevel="0" collapsed="false">
      <c r="A90" s="5" t="s">
        <v>1768</v>
      </c>
      <c r="B90" s="5" t="s">
        <v>150</v>
      </c>
      <c r="C90" s="5" t="s">
        <v>100</v>
      </c>
      <c r="D90" s="5" t="s">
        <v>1769</v>
      </c>
      <c r="E90" s="5" t="s">
        <v>1770</v>
      </c>
      <c r="F90" s="5" t="s">
        <v>296</v>
      </c>
      <c r="G90" s="5" t="s">
        <v>1771</v>
      </c>
      <c r="H90" s="5" t="s">
        <v>1772</v>
      </c>
      <c r="I90" s="5" t="s">
        <v>90</v>
      </c>
      <c r="J90" s="5" t="s">
        <v>185</v>
      </c>
      <c r="K90" s="5"/>
      <c r="L90" s="5" t="s">
        <v>95</v>
      </c>
      <c r="M90" s="5"/>
      <c r="N90" s="5"/>
      <c r="O90" s="5"/>
      <c r="P90" s="5"/>
    </row>
    <row r="91" customFormat="false" ht="27.75" hidden="false" customHeight="true" outlineLevel="0" collapsed="false">
      <c r="A91" s="5" t="s">
        <v>1773</v>
      </c>
      <c r="B91" s="5" t="s">
        <v>150</v>
      </c>
      <c r="C91" s="5" t="s">
        <v>100</v>
      </c>
      <c r="D91" s="5" t="s">
        <v>1774</v>
      </c>
      <c r="E91" s="5" t="s">
        <v>1736</v>
      </c>
      <c r="F91" s="5" t="s">
        <v>296</v>
      </c>
      <c r="G91" s="5" t="s">
        <v>1775</v>
      </c>
      <c r="H91" s="5" t="s">
        <v>1776</v>
      </c>
      <c r="I91" s="5" t="s">
        <v>89</v>
      </c>
      <c r="J91" s="5" t="s">
        <v>210</v>
      </c>
      <c r="K91" s="5" t="s">
        <v>1777</v>
      </c>
      <c r="L91" s="5" t="s">
        <v>32</v>
      </c>
      <c r="M91" s="5" t="s">
        <v>197</v>
      </c>
      <c r="N91" s="5" t="s">
        <v>28</v>
      </c>
      <c r="O91" s="5"/>
      <c r="P91" s="5"/>
    </row>
    <row r="92" customFormat="false" ht="41.25" hidden="false" customHeight="true" outlineLevel="0" collapsed="false">
      <c r="A92" s="5" t="s">
        <v>1778</v>
      </c>
      <c r="B92" s="5" t="s">
        <v>150</v>
      </c>
      <c r="C92" s="5" t="s">
        <v>100</v>
      </c>
      <c r="D92" s="5" t="s">
        <v>1779</v>
      </c>
      <c r="E92" s="5" t="s">
        <v>1780</v>
      </c>
      <c r="F92" s="5" t="s">
        <v>296</v>
      </c>
      <c r="G92" s="5" t="s">
        <v>1781</v>
      </c>
      <c r="H92" s="5" t="s">
        <v>1782</v>
      </c>
      <c r="I92" s="5" t="s">
        <v>89</v>
      </c>
      <c r="J92" s="5" t="s">
        <v>195</v>
      </c>
      <c r="K92" s="5" t="s">
        <v>1783</v>
      </c>
      <c r="L92" s="5" t="s">
        <v>32</v>
      </c>
      <c r="M92" s="5" t="s">
        <v>197</v>
      </c>
      <c r="N92" s="5" t="s">
        <v>28</v>
      </c>
      <c r="O92" s="5"/>
      <c r="P92" s="5"/>
    </row>
    <row r="93" customFormat="false" ht="27.75" hidden="false" customHeight="true" outlineLevel="0" collapsed="false">
      <c r="A93" s="5" t="s">
        <v>1784</v>
      </c>
      <c r="B93" s="5" t="s">
        <v>150</v>
      </c>
      <c r="C93" s="5" t="s">
        <v>100</v>
      </c>
      <c r="D93" s="5" t="s">
        <v>1785</v>
      </c>
      <c r="E93" s="5" t="s">
        <v>1786</v>
      </c>
      <c r="F93" s="5" t="s">
        <v>296</v>
      </c>
      <c r="G93" s="5" t="s">
        <v>1787</v>
      </c>
      <c r="H93" s="5" t="s">
        <v>1788</v>
      </c>
      <c r="I93" s="5" t="s">
        <v>90</v>
      </c>
      <c r="J93" s="5" t="s">
        <v>195</v>
      </c>
      <c r="K93" s="5"/>
      <c r="L93" s="5" t="s">
        <v>95</v>
      </c>
      <c r="M93" s="5"/>
      <c r="N93" s="5"/>
      <c r="O93" s="5"/>
      <c r="P93" s="5"/>
    </row>
    <row r="94" customFormat="false" ht="27.75" hidden="false" customHeight="true" outlineLevel="0" collapsed="false">
      <c r="A94" s="5" t="s">
        <v>1789</v>
      </c>
      <c r="B94" s="5" t="s">
        <v>150</v>
      </c>
      <c r="C94" s="5" t="s">
        <v>100</v>
      </c>
      <c r="D94" s="5" t="s">
        <v>1790</v>
      </c>
      <c r="E94" s="5" t="s">
        <v>1791</v>
      </c>
      <c r="F94" s="5" t="s">
        <v>296</v>
      </c>
      <c r="G94" s="5" t="s">
        <v>1792</v>
      </c>
      <c r="H94" s="5" t="s">
        <v>1793</v>
      </c>
      <c r="I94" s="5" t="s">
        <v>90</v>
      </c>
      <c r="J94" s="5" t="s">
        <v>185</v>
      </c>
      <c r="K94" s="5"/>
      <c r="L94" s="5" t="s">
        <v>95</v>
      </c>
      <c r="M94" s="5"/>
      <c r="N94" s="5"/>
      <c r="O94" s="5"/>
      <c r="P94" s="5"/>
    </row>
    <row r="95" customFormat="false" ht="27.75" hidden="false" customHeight="true" outlineLevel="0" collapsed="false">
      <c r="A95" s="5" t="s">
        <v>1794</v>
      </c>
      <c r="B95" s="5" t="s">
        <v>150</v>
      </c>
      <c r="C95" s="5" t="s">
        <v>100</v>
      </c>
      <c r="D95" s="5" t="s">
        <v>1795</v>
      </c>
      <c r="E95" s="5" t="s">
        <v>1796</v>
      </c>
      <c r="F95" s="5" t="s">
        <v>296</v>
      </c>
      <c r="G95" s="5" t="s">
        <v>1797</v>
      </c>
      <c r="H95" s="5" t="s">
        <v>1798</v>
      </c>
      <c r="I95" s="5" t="s">
        <v>89</v>
      </c>
      <c r="J95" s="5" t="s">
        <v>242</v>
      </c>
      <c r="K95" s="5" t="s">
        <v>1799</v>
      </c>
      <c r="L95" s="5" t="s">
        <v>32</v>
      </c>
      <c r="M95" s="5" t="s">
        <v>197</v>
      </c>
      <c r="N95" s="5" t="s">
        <v>28</v>
      </c>
      <c r="O95" s="5"/>
      <c r="P95" s="5"/>
    </row>
    <row r="96" customFormat="false" ht="41.25" hidden="false" customHeight="true" outlineLevel="0" collapsed="false">
      <c r="A96" s="5" t="s">
        <v>1800</v>
      </c>
      <c r="B96" s="5" t="s">
        <v>150</v>
      </c>
      <c r="C96" s="5" t="s">
        <v>100</v>
      </c>
      <c r="D96" s="5" t="s">
        <v>1801</v>
      </c>
      <c r="E96" s="5" t="s">
        <v>1802</v>
      </c>
      <c r="F96" s="5" t="s">
        <v>296</v>
      </c>
      <c r="G96" s="5" t="s">
        <v>1803</v>
      </c>
      <c r="H96" s="5" t="s">
        <v>1804</v>
      </c>
      <c r="I96" s="5" t="s">
        <v>89</v>
      </c>
      <c r="J96" s="5" t="s">
        <v>195</v>
      </c>
      <c r="K96" s="5" t="s">
        <v>1805</v>
      </c>
      <c r="L96" s="5" t="s">
        <v>32</v>
      </c>
      <c r="M96" s="5" t="s">
        <v>197</v>
      </c>
      <c r="N96" s="5" t="s">
        <v>28</v>
      </c>
      <c r="O96" s="5"/>
      <c r="P96" s="5"/>
    </row>
    <row r="97" customFormat="false" ht="27.75" hidden="false" customHeight="true" outlineLevel="0" collapsed="false">
      <c r="A97" s="5" t="s">
        <v>1806</v>
      </c>
      <c r="B97" s="5" t="s">
        <v>150</v>
      </c>
      <c r="C97" s="5" t="s">
        <v>100</v>
      </c>
      <c r="D97" s="5" t="s">
        <v>1807</v>
      </c>
      <c r="E97" s="5" t="s">
        <v>1808</v>
      </c>
      <c r="F97" s="5" t="s">
        <v>296</v>
      </c>
      <c r="G97" s="5" t="s">
        <v>1809</v>
      </c>
      <c r="H97" s="5" t="s">
        <v>1810</v>
      </c>
      <c r="I97" s="5" t="s">
        <v>89</v>
      </c>
      <c r="J97" s="5" t="s">
        <v>195</v>
      </c>
      <c r="K97" s="5" t="s">
        <v>1811</v>
      </c>
      <c r="L97" s="5" t="s">
        <v>32</v>
      </c>
      <c r="M97" s="5" t="s">
        <v>197</v>
      </c>
      <c r="N97" s="5" t="s">
        <v>28</v>
      </c>
      <c r="O97" s="5"/>
      <c r="P97" s="5"/>
    </row>
    <row r="98" customFormat="false" ht="27.75" hidden="false" customHeight="true" outlineLevel="0" collapsed="false">
      <c r="A98" s="5" t="s">
        <v>1812</v>
      </c>
      <c r="B98" s="5" t="s">
        <v>150</v>
      </c>
      <c r="C98" s="5" t="s">
        <v>100</v>
      </c>
      <c r="D98" s="5" t="s">
        <v>1813</v>
      </c>
      <c r="E98" s="5" t="s">
        <v>1814</v>
      </c>
      <c r="F98" s="5" t="s">
        <v>296</v>
      </c>
      <c r="G98" s="5" t="s">
        <v>1815</v>
      </c>
      <c r="H98" s="5" t="s">
        <v>1816</v>
      </c>
      <c r="I98" s="5" t="s">
        <v>90</v>
      </c>
      <c r="J98" s="5" t="s">
        <v>242</v>
      </c>
      <c r="K98" s="5"/>
      <c r="L98" s="5" t="s">
        <v>95</v>
      </c>
      <c r="M98" s="5"/>
      <c r="N98" s="5"/>
      <c r="O98" s="5"/>
      <c r="P98" s="5"/>
    </row>
    <row r="99" customFormat="false" ht="27.75" hidden="false" customHeight="true" outlineLevel="0" collapsed="false">
      <c r="A99" s="5" t="s">
        <v>1817</v>
      </c>
      <c r="B99" s="5" t="s">
        <v>151</v>
      </c>
      <c r="C99" s="5" t="s">
        <v>100</v>
      </c>
      <c r="D99" s="5" t="s">
        <v>1818</v>
      </c>
      <c r="E99" s="5" t="s">
        <v>750</v>
      </c>
      <c r="F99" s="5" t="s">
        <v>296</v>
      </c>
      <c r="G99" s="5" t="s">
        <v>1595</v>
      </c>
      <c r="H99" s="5" t="s">
        <v>1819</v>
      </c>
      <c r="I99" s="5" t="s">
        <v>89</v>
      </c>
      <c r="J99" s="5" t="s">
        <v>195</v>
      </c>
      <c r="K99" s="5" t="s">
        <v>1820</v>
      </c>
      <c r="L99" s="5" t="s">
        <v>32</v>
      </c>
      <c r="M99" s="5" t="s">
        <v>197</v>
      </c>
      <c r="N99" s="5" t="s">
        <v>28</v>
      </c>
      <c r="O99" s="5"/>
      <c r="P99" s="5"/>
    </row>
    <row r="100" customFormat="false" ht="68.25" hidden="false" customHeight="true" outlineLevel="0" collapsed="false">
      <c r="A100" s="5" t="s">
        <v>47</v>
      </c>
      <c r="B100" s="5" t="s">
        <v>151</v>
      </c>
      <c r="C100" s="5" t="s">
        <v>100</v>
      </c>
      <c r="D100" s="5" t="s">
        <v>1821</v>
      </c>
      <c r="E100" s="5" t="s">
        <v>1822</v>
      </c>
      <c r="F100" s="5" t="s">
        <v>296</v>
      </c>
      <c r="G100" s="5" t="s">
        <v>1823</v>
      </c>
      <c r="H100" s="5" t="s">
        <v>1824</v>
      </c>
      <c r="I100" s="5" t="s">
        <v>89</v>
      </c>
      <c r="J100" s="5" t="s">
        <v>195</v>
      </c>
      <c r="K100" s="5" t="s">
        <v>1825</v>
      </c>
      <c r="L100" s="5" t="s">
        <v>93</v>
      </c>
      <c r="M100" s="5" t="s">
        <v>197</v>
      </c>
      <c r="N100" s="5" t="s">
        <v>28</v>
      </c>
      <c r="O100" s="5"/>
      <c r="P100" s="5"/>
    </row>
    <row r="101" customFormat="false" ht="27.75" hidden="false" customHeight="true" outlineLevel="0" collapsed="false">
      <c r="A101" s="5" t="s">
        <v>1826</v>
      </c>
      <c r="B101" s="5" t="s">
        <v>151</v>
      </c>
      <c r="C101" s="5" t="s">
        <v>100</v>
      </c>
      <c r="D101" s="5" t="s">
        <v>1827</v>
      </c>
      <c r="E101" s="5" t="s">
        <v>1828</v>
      </c>
      <c r="F101" s="5" t="s">
        <v>296</v>
      </c>
      <c r="G101" s="5" t="s">
        <v>1829</v>
      </c>
      <c r="H101" s="5" t="s">
        <v>1830</v>
      </c>
      <c r="I101" s="5" t="s">
        <v>90</v>
      </c>
      <c r="J101" s="5" t="s">
        <v>195</v>
      </c>
      <c r="K101" s="5"/>
      <c r="L101" s="5" t="s">
        <v>95</v>
      </c>
      <c r="M101" s="5"/>
      <c r="N101" s="5"/>
      <c r="O101" s="5"/>
      <c r="P101" s="5"/>
    </row>
    <row r="102" customFormat="false" ht="27.75" hidden="false" customHeight="true" outlineLevel="0" collapsed="false">
      <c r="A102" s="5" t="s">
        <v>1831</v>
      </c>
      <c r="B102" s="5" t="s">
        <v>151</v>
      </c>
      <c r="C102" s="5" t="s">
        <v>100</v>
      </c>
      <c r="D102" s="5" t="s">
        <v>1832</v>
      </c>
      <c r="E102" s="5" t="s">
        <v>1833</v>
      </c>
      <c r="F102" s="5" t="s">
        <v>296</v>
      </c>
      <c r="G102" s="5" t="s">
        <v>1834</v>
      </c>
      <c r="H102" s="5" t="s">
        <v>1835</v>
      </c>
      <c r="I102" s="5" t="s">
        <v>90</v>
      </c>
      <c r="J102" s="5" t="s">
        <v>195</v>
      </c>
      <c r="K102" s="5"/>
      <c r="L102" s="5" t="s">
        <v>95</v>
      </c>
      <c r="M102" s="5"/>
      <c r="N102" s="5"/>
      <c r="O102" s="5"/>
      <c r="P102" s="5"/>
    </row>
    <row r="103" customFormat="false" ht="27.75" hidden="false" customHeight="true" outlineLevel="0" collapsed="false">
      <c r="A103" s="5" t="s">
        <v>1836</v>
      </c>
      <c r="B103" s="5" t="s">
        <v>151</v>
      </c>
      <c r="C103" s="5" t="s">
        <v>100</v>
      </c>
      <c r="D103" s="5" t="s">
        <v>1837</v>
      </c>
      <c r="E103" s="5" t="s">
        <v>1838</v>
      </c>
      <c r="F103" s="5" t="s">
        <v>296</v>
      </c>
      <c r="G103" s="5" t="s">
        <v>1839</v>
      </c>
      <c r="H103" s="5" t="s">
        <v>1840</v>
      </c>
      <c r="I103" s="5" t="s">
        <v>90</v>
      </c>
      <c r="J103" s="5" t="s">
        <v>195</v>
      </c>
      <c r="K103" s="5"/>
      <c r="L103" s="5" t="s">
        <v>95</v>
      </c>
      <c r="M103" s="5"/>
      <c r="N103" s="5"/>
      <c r="O103" s="5"/>
      <c r="P103" s="5"/>
    </row>
    <row r="104" customFormat="false" ht="54.75" hidden="false" customHeight="true" outlineLevel="0" collapsed="false">
      <c r="A104" s="5" t="s">
        <v>1841</v>
      </c>
      <c r="B104" s="5" t="s">
        <v>152</v>
      </c>
      <c r="C104" s="5" t="s">
        <v>100</v>
      </c>
      <c r="D104" s="5" t="s">
        <v>1842</v>
      </c>
      <c r="E104" s="5" t="s">
        <v>1843</v>
      </c>
      <c r="F104" s="5" t="s">
        <v>296</v>
      </c>
      <c r="G104" s="5" t="s">
        <v>1844</v>
      </c>
      <c r="H104" s="5" t="s">
        <v>1845</v>
      </c>
      <c r="I104" s="5" t="s">
        <v>89</v>
      </c>
      <c r="J104" s="5" t="s">
        <v>195</v>
      </c>
      <c r="K104" s="5" t="s">
        <v>1846</v>
      </c>
      <c r="L104" s="5" t="s">
        <v>32</v>
      </c>
      <c r="M104" s="5" t="s">
        <v>197</v>
      </c>
      <c r="N104" s="5" t="s">
        <v>28</v>
      </c>
      <c r="O104" s="5"/>
      <c r="P104" s="5"/>
    </row>
    <row r="105" customFormat="false" ht="27.75" hidden="false" customHeight="true" outlineLevel="0" collapsed="false">
      <c r="A105" s="5" t="s">
        <v>1847</v>
      </c>
      <c r="B105" s="5" t="s">
        <v>152</v>
      </c>
      <c r="C105" s="5" t="s">
        <v>100</v>
      </c>
      <c r="D105" s="5" t="s">
        <v>1848</v>
      </c>
      <c r="E105" s="5" t="s">
        <v>1849</v>
      </c>
      <c r="F105" s="5" t="s">
        <v>296</v>
      </c>
      <c r="G105" s="5" t="s">
        <v>1850</v>
      </c>
      <c r="H105" s="5" t="s">
        <v>1851</v>
      </c>
      <c r="I105" s="5" t="s">
        <v>89</v>
      </c>
      <c r="J105" s="5" t="s">
        <v>195</v>
      </c>
      <c r="K105" s="5" t="s">
        <v>1852</v>
      </c>
      <c r="L105" s="5" t="s">
        <v>32</v>
      </c>
      <c r="M105" s="5" t="s">
        <v>197</v>
      </c>
      <c r="N105" s="5" t="s">
        <v>28</v>
      </c>
      <c r="O105" s="5"/>
      <c r="P105" s="5"/>
    </row>
    <row r="106" customFormat="false" ht="27.75" hidden="false" customHeight="true" outlineLevel="0" collapsed="false">
      <c r="A106" s="5" t="s">
        <v>1853</v>
      </c>
      <c r="B106" s="5" t="s">
        <v>152</v>
      </c>
      <c r="C106" s="5" t="s">
        <v>100</v>
      </c>
      <c r="D106" s="5" t="s">
        <v>1854</v>
      </c>
      <c r="E106" s="5" t="s">
        <v>1855</v>
      </c>
      <c r="F106" s="5" t="s">
        <v>296</v>
      </c>
      <c r="G106" s="5" t="s">
        <v>1856</v>
      </c>
      <c r="H106" s="5" t="s">
        <v>1857</v>
      </c>
      <c r="I106" s="5" t="s">
        <v>90</v>
      </c>
      <c r="J106" s="5" t="s">
        <v>195</v>
      </c>
      <c r="K106" s="5"/>
      <c r="L106" s="5" t="s">
        <v>95</v>
      </c>
      <c r="M106" s="5"/>
      <c r="N106" s="5"/>
      <c r="O106" s="5"/>
      <c r="P106" s="5"/>
    </row>
    <row r="107" customFormat="false" ht="27.75" hidden="false" customHeight="true" outlineLevel="0" collapsed="false">
      <c r="A107" s="5" t="s">
        <v>1858</v>
      </c>
      <c r="B107" s="5" t="s">
        <v>152</v>
      </c>
      <c r="C107" s="5" t="s">
        <v>100</v>
      </c>
      <c r="D107" s="5" t="s">
        <v>1859</v>
      </c>
      <c r="E107" s="5" t="s">
        <v>1860</v>
      </c>
      <c r="F107" s="5" t="s">
        <v>296</v>
      </c>
      <c r="G107" s="5" t="s">
        <v>1861</v>
      </c>
      <c r="H107" s="5" t="s">
        <v>1862</v>
      </c>
      <c r="I107" s="5" t="s">
        <v>89</v>
      </c>
      <c r="J107" s="5" t="s">
        <v>242</v>
      </c>
      <c r="K107" s="5" t="s">
        <v>1863</v>
      </c>
      <c r="L107" s="5" t="s">
        <v>32</v>
      </c>
      <c r="M107" s="5" t="s">
        <v>197</v>
      </c>
      <c r="N107" s="5" t="s">
        <v>28</v>
      </c>
      <c r="O107" s="5"/>
      <c r="P107" s="5"/>
    </row>
    <row r="108" customFormat="false" ht="27.75" hidden="false" customHeight="true" outlineLevel="0" collapsed="false">
      <c r="A108" s="5" t="s">
        <v>1864</v>
      </c>
      <c r="B108" s="5" t="s">
        <v>152</v>
      </c>
      <c r="C108" s="5" t="s">
        <v>100</v>
      </c>
      <c r="D108" s="5" t="s">
        <v>1865</v>
      </c>
      <c r="E108" s="5" t="s">
        <v>1866</v>
      </c>
      <c r="F108" s="5" t="s">
        <v>296</v>
      </c>
      <c r="G108" s="5" t="s">
        <v>1867</v>
      </c>
      <c r="H108" s="5" t="s">
        <v>1868</v>
      </c>
      <c r="I108" s="5" t="s">
        <v>90</v>
      </c>
      <c r="J108" s="5" t="s">
        <v>195</v>
      </c>
      <c r="K108" s="5"/>
      <c r="L108" s="5" t="s">
        <v>95</v>
      </c>
      <c r="M108" s="5"/>
      <c r="N108" s="5"/>
      <c r="O108" s="5"/>
      <c r="P108" s="5"/>
    </row>
    <row r="109" customFormat="false" ht="41.25" hidden="false" customHeight="true" outlineLevel="0" collapsed="false">
      <c r="A109" s="5" t="s">
        <v>1869</v>
      </c>
      <c r="B109" s="5" t="s">
        <v>152</v>
      </c>
      <c r="C109" s="5" t="s">
        <v>100</v>
      </c>
      <c r="D109" s="5" t="s">
        <v>1870</v>
      </c>
      <c r="E109" s="5" t="s">
        <v>1871</v>
      </c>
      <c r="F109" s="5" t="s">
        <v>296</v>
      </c>
      <c r="G109" s="5" t="s">
        <v>1872</v>
      </c>
      <c r="H109" s="5" t="s">
        <v>1873</v>
      </c>
      <c r="I109" s="5" t="s">
        <v>90</v>
      </c>
      <c r="J109" s="5" t="s">
        <v>195</v>
      </c>
      <c r="K109" s="5"/>
      <c r="L109" s="5" t="s">
        <v>95</v>
      </c>
      <c r="M109" s="5"/>
      <c r="N109" s="5"/>
      <c r="O109" s="5"/>
      <c r="P109" s="5"/>
    </row>
    <row r="110" customFormat="false" ht="27.75" hidden="false" customHeight="true" outlineLevel="0" collapsed="false">
      <c r="A110" s="5" t="s">
        <v>1874</v>
      </c>
      <c r="B110" s="5" t="s">
        <v>152</v>
      </c>
      <c r="C110" s="5" t="s">
        <v>100</v>
      </c>
      <c r="D110" s="5" t="s">
        <v>1875</v>
      </c>
      <c r="E110" s="5" t="s">
        <v>1710</v>
      </c>
      <c r="F110" s="5" t="s">
        <v>296</v>
      </c>
      <c r="G110" s="5" t="s">
        <v>1876</v>
      </c>
      <c r="H110" s="5" t="s">
        <v>1877</v>
      </c>
      <c r="I110" s="5" t="s">
        <v>90</v>
      </c>
      <c r="J110" s="5" t="s">
        <v>185</v>
      </c>
      <c r="K110" s="5"/>
      <c r="L110" s="5" t="s">
        <v>95</v>
      </c>
      <c r="M110" s="5"/>
      <c r="N110" s="5"/>
      <c r="O110" s="5"/>
      <c r="P110" s="5"/>
    </row>
    <row r="111" customFormat="false" ht="54.75" hidden="false" customHeight="true" outlineLevel="0" collapsed="false">
      <c r="A111" s="5" t="s">
        <v>1878</v>
      </c>
      <c r="B111" s="5" t="s">
        <v>152</v>
      </c>
      <c r="C111" s="5" t="s">
        <v>100</v>
      </c>
      <c r="D111" s="5" t="s">
        <v>1879</v>
      </c>
      <c r="E111" s="5" t="s">
        <v>1880</v>
      </c>
      <c r="F111" s="5" t="s">
        <v>296</v>
      </c>
      <c r="G111" s="5" t="s">
        <v>1881</v>
      </c>
      <c r="H111" s="5" t="s">
        <v>1706</v>
      </c>
      <c r="I111" s="5" t="s">
        <v>88</v>
      </c>
      <c r="J111" s="5" t="s">
        <v>210</v>
      </c>
      <c r="K111" s="5" t="s">
        <v>1882</v>
      </c>
      <c r="L111" s="5" t="s">
        <v>32</v>
      </c>
      <c r="M111" s="5" t="s">
        <v>197</v>
      </c>
      <c r="N111" s="5" t="s">
        <v>28</v>
      </c>
      <c r="O111" s="5"/>
      <c r="P111" s="5"/>
    </row>
    <row r="112" customFormat="false" ht="68.25" hidden="false" customHeight="true" outlineLevel="0" collapsed="false">
      <c r="A112" s="5" t="s">
        <v>1883</v>
      </c>
      <c r="B112" s="5" t="s">
        <v>152</v>
      </c>
      <c r="C112" s="5" t="s">
        <v>100</v>
      </c>
      <c r="D112" s="5" t="s">
        <v>1884</v>
      </c>
      <c r="E112" s="5" t="s">
        <v>1885</v>
      </c>
      <c r="F112" s="5" t="s">
        <v>296</v>
      </c>
      <c r="G112" s="5" t="s">
        <v>1886</v>
      </c>
      <c r="H112" s="5" t="s">
        <v>1887</v>
      </c>
      <c r="I112" s="5" t="s">
        <v>88</v>
      </c>
      <c r="J112" s="5" t="s">
        <v>210</v>
      </c>
      <c r="K112" s="5" t="s">
        <v>1888</v>
      </c>
      <c r="L112" s="5" t="s">
        <v>32</v>
      </c>
      <c r="M112" s="5" t="s">
        <v>197</v>
      </c>
      <c r="N112" s="5" t="s">
        <v>28</v>
      </c>
      <c r="O112" s="5"/>
      <c r="P112" s="5"/>
    </row>
    <row r="113" customFormat="false" ht="27.75" hidden="false" customHeight="true" outlineLevel="0" collapsed="false">
      <c r="A113" s="5" t="s">
        <v>1889</v>
      </c>
      <c r="B113" s="5" t="s">
        <v>152</v>
      </c>
      <c r="C113" s="5" t="s">
        <v>100</v>
      </c>
      <c r="D113" s="5" t="s">
        <v>1890</v>
      </c>
      <c r="E113" s="5" t="s">
        <v>1891</v>
      </c>
      <c r="F113" s="5" t="s">
        <v>296</v>
      </c>
      <c r="G113" s="5" t="s">
        <v>1892</v>
      </c>
      <c r="H113" s="5" t="s">
        <v>1893</v>
      </c>
      <c r="I113" s="5" t="s">
        <v>89</v>
      </c>
      <c r="J113" s="5" t="s">
        <v>271</v>
      </c>
      <c r="K113" s="5" t="s">
        <v>1894</v>
      </c>
      <c r="L113" s="5" t="s">
        <v>32</v>
      </c>
      <c r="M113" s="5" t="s">
        <v>197</v>
      </c>
      <c r="N113" s="5" t="s">
        <v>28</v>
      </c>
      <c r="O113" s="5"/>
      <c r="P113" s="5"/>
    </row>
    <row r="114" customFormat="false" ht="27.75" hidden="false" customHeight="true" outlineLevel="0" collapsed="false">
      <c r="A114" s="5" t="s">
        <v>1895</v>
      </c>
      <c r="B114" s="5" t="s">
        <v>152</v>
      </c>
      <c r="C114" s="5" t="s">
        <v>100</v>
      </c>
      <c r="D114" s="5" t="s">
        <v>1896</v>
      </c>
      <c r="E114" s="5" t="s">
        <v>1897</v>
      </c>
      <c r="F114" s="5" t="s">
        <v>296</v>
      </c>
      <c r="G114" s="5" t="s">
        <v>1898</v>
      </c>
      <c r="H114" s="5" t="s">
        <v>1899</v>
      </c>
      <c r="I114" s="5" t="s">
        <v>89</v>
      </c>
      <c r="J114" s="5" t="s">
        <v>195</v>
      </c>
      <c r="K114" s="5" t="s">
        <v>1900</v>
      </c>
      <c r="L114" s="5" t="s">
        <v>32</v>
      </c>
      <c r="M114" s="5" t="s">
        <v>197</v>
      </c>
      <c r="N114" s="5" t="s">
        <v>28</v>
      </c>
      <c r="O114" s="5"/>
      <c r="P114" s="5"/>
    </row>
    <row r="115" customFormat="false" ht="27.75" hidden="false" customHeight="true" outlineLevel="0" collapsed="false">
      <c r="A115" s="5" t="s">
        <v>1901</v>
      </c>
      <c r="B115" s="5" t="s">
        <v>152</v>
      </c>
      <c r="C115" s="5" t="s">
        <v>100</v>
      </c>
      <c r="D115" s="5" t="s">
        <v>1902</v>
      </c>
      <c r="E115" s="5" t="s">
        <v>400</v>
      </c>
      <c r="F115" s="5" t="s">
        <v>296</v>
      </c>
      <c r="G115" s="5" t="s">
        <v>1903</v>
      </c>
      <c r="H115" s="5" t="s">
        <v>1904</v>
      </c>
      <c r="I115" s="5" t="s">
        <v>90</v>
      </c>
      <c r="J115" s="5" t="s">
        <v>195</v>
      </c>
      <c r="K115" s="5"/>
      <c r="L115" s="5" t="s">
        <v>95</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41.25" hidden="false" customHeight="true" outlineLevel="0" collapsed="false">
      <c r="A2" s="5" t="s">
        <v>1905</v>
      </c>
      <c r="B2" s="5" t="s">
        <v>153</v>
      </c>
      <c r="C2" s="5" t="s">
        <v>101</v>
      </c>
      <c r="D2" s="5" t="s">
        <v>1906</v>
      </c>
      <c r="E2" s="5" t="s">
        <v>1907</v>
      </c>
      <c r="F2" s="5" t="s">
        <v>296</v>
      </c>
      <c r="G2" s="5" t="s">
        <v>1908</v>
      </c>
      <c r="H2" s="5" t="s">
        <v>1909</v>
      </c>
      <c r="I2" s="5" t="s">
        <v>88</v>
      </c>
      <c r="J2" s="5" t="s">
        <v>195</v>
      </c>
      <c r="K2" s="5" t="s">
        <v>1910</v>
      </c>
      <c r="L2" s="5" t="s">
        <v>32</v>
      </c>
      <c r="M2" s="5" t="s">
        <v>197</v>
      </c>
      <c r="N2" s="5" t="s">
        <v>28</v>
      </c>
      <c r="O2" s="5"/>
      <c r="P2" s="5"/>
    </row>
    <row r="3" customFormat="false" ht="27.75" hidden="false" customHeight="true" outlineLevel="0" collapsed="false">
      <c r="A3" s="5" t="s">
        <v>1911</v>
      </c>
      <c r="B3" s="5" t="s">
        <v>153</v>
      </c>
      <c r="C3" s="5" t="s">
        <v>101</v>
      </c>
      <c r="D3" s="5" t="s">
        <v>1912</v>
      </c>
      <c r="E3" s="5" t="s">
        <v>1913</v>
      </c>
      <c r="F3" s="5" t="s">
        <v>296</v>
      </c>
      <c r="G3" s="5" t="s">
        <v>1914</v>
      </c>
      <c r="H3" s="5" t="s">
        <v>1915</v>
      </c>
      <c r="I3" s="5" t="s">
        <v>89</v>
      </c>
      <c r="J3" s="5" t="s">
        <v>195</v>
      </c>
      <c r="K3" s="5"/>
      <c r="L3" s="5" t="s">
        <v>95</v>
      </c>
      <c r="M3" s="5"/>
      <c r="N3" s="5"/>
      <c r="O3" s="5"/>
      <c r="P3" s="5"/>
    </row>
    <row r="4" customFormat="false" ht="27.75" hidden="false" customHeight="true" outlineLevel="0" collapsed="false">
      <c r="A4" s="5" t="s">
        <v>1916</v>
      </c>
      <c r="B4" s="5" t="s">
        <v>153</v>
      </c>
      <c r="C4" s="5" t="s">
        <v>101</v>
      </c>
      <c r="D4" s="5" t="s">
        <v>1917</v>
      </c>
      <c r="E4" s="5" t="s">
        <v>1918</v>
      </c>
      <c r="F4" s="5" t="s">
        <v>296</v>
      </c>
      <c r="G4" s="5" t="s">
        <v>1919</v>
      </c>
      <c r="H4" s="5" t="s">
        <v>1920</v>
      </c>
      <c r="I4" s="5" t="s">
        <v>88</v>
      </c>
      <c r="J4" s="5" t="s">
        <v>210</v>
      </c>
      <c r="K4" s="5" t="s">
        <v>1921</v>
      </c>
      <c r="L4" s="5" t="s">
        <v>32</v>
      </c>
      <c r="M4" s="5" t="s">
        <v>197</v>
      </c>
      <c r="N4" s="5" t="s">
        <v>28</v>
      </c>
      <c r="O4" s="5"/>
      <c r="P4" s="5"/>
    </row>
    <row r="5" customFormat="false" ht="27.75" hidden="false" customHeight="true" outlineLevel="0" collapsed="false">
      <c r="A5" s="5" t="s">
        <v>1922</v>
      </c>
      <c r="B5" s="5" t="s">
        <v>154</v>
      </c>
      <c r="C5" s="5" t="s">
        <v>101</v>
      </c>
      <c r="D5" s="5" t="s">
        <v>1923</v>
      </c>
      <c r="E5" s="5" t="s">
        <v>1907</v>
      </c>
      <c r="F5" s="5" t="s">
        <v>296</v>
      </c>
      <c r="G5" s="5" t="s">
        <v>1924</v>
      </c>
      <c r="H5" s="5" t="s">
        <v>1925</v>
      </c>
      <c r="I5" s="5" t="s">
        <v>89</v>
      </c>
      <c r="J5" s="5" t="s">
        <v>195</v>
      </c>
      <c r="K5" s="5"/>
      <c r="L5" s="5" t="s">
        <v>95</v>
      </c>
      <c r="M5" s="5"/>
      <c r="N5" s="5"/>
      <c r="O5" s="5"/>
      <c r="P5" s="5"/>
    </row>
    <row r="6" customFormat="false" ht="41.25" hidden="false" customHeight="true" outlineLevel="0" collapsed="false">
      <c r="A6" s="5" t="s">
        <v>1926</v>
      </c>
      <c r="B6" s="5" t="s">
        <v>155</v>
      </c>
      <c r="C6" s="5" t="s">
        <v>101</v>
      </c>
      <c r="D6" s="5" t="s">
        <v>1927</v>
      </c>
      <c r="E6" s="5" t="s">
        <v>1928</v>
      </c>
      <c r="F6" s="5" t="s">
        <v>296</v>
      </c>
      <c r="G6" s="5" t="s">
        <v>1929</v>
      </c>
      <c r="H6" s="5" t="s">
        <v>1930</v>
      </c>
      <c r="I6" s="5" t="s">
        <v>88</v>
      </c>
      <c r="J6" s="5" t="s">
        <v>195</v>
      </c>
      <c r="K6" s="5" t="s">
        <v>1931</v>
      </c>
      <c r="L6" s="5" t="s">
        <v>32</v>
      </c>
      <c r="M6" s="5" t="s">
        <v>197</v>
      </c>
      <c r="N6" s="5" t="s">
        <v>28</v>
      </c>
      <c r="O6" s="5"/>
      <c r="P6" s="5"/>
    </row>
    <row r="7" customFormat="false" ht="41.25" hidden="false" customHeight="true" outlineLevel="0" collapsed="false">
      <c r="A7" s="5" t="s">
        <v>1932</v>
      </c>
      <c r="B7" s="5" t="s">
        <v>155</v>
      </c>
      <c r="C7" s="5" t="s">
        <v>101</v>
      </c>
      <c r="D7" s="5" t="s">
        <v>1933</v>
      </c>
      <c r="E7" s="5" t="s">
        <v>1934</v>
      </c>
      <c r="F7" s="5" t="s">
        <v>1935</v>
      </c>
      <c r="G7" s="5" t="s">
        <v>1936</v>
      </c>
      <c r="H7" s="5" t="s">
        <v>1937</v>
      </c>
      <c r="I7" s="5" t="s">
        <v>88</v>
      </c>
      <c r="J7" s="5" t="s">
        <v>195</v>
      </c>
      <c r="K7" s="5" t="s">
        <v>1938</v>
      </c>
      <c r="L7" s="5" t="s">
        <v>32</v>
      </c>
      <c r="M7" s="5" t="s">
        <v>197</v>
      </c>
      <c r="N7" s="5" t="s">
        <v>28</v>
      </c>
      <c r="O7" s="5"/>
      <c r="P7" s="5"/>
    </row>
    <row r="8" customFormat="false" ht="15" hidden="false" customHeight="true" outlineLevel="0" collapsed="false">
      <c r="A8" s="5" t="s">
        <v>1939</v>
      </c>
      <c r="B8" s="5" t="s">
        <v>155</v>
      </c>
      <c r="C8" s="5" t="s">
        <v>101</v>
      </c>
      <c r="D8" s="5" t="s">
        <v>1940</v>
      </c>
      <c r="E8" s="5" t="s">
        <v>1934</v>
      </c>
      <c r="F8" s="5" t="s">
        <v>1941</v>
      </c>
      <c r="G8" s="5" t="s">
        <v>1942</v>
      </c>
      <c r="H8" s="5" t="s">
        <v>1943</v>
      </c>
      <c r="I8" s="5" t="s">
        <v>88</v>
      </c>
      <c r="J8" s="5" t="s">
        <v>218</v>
      </c>
      <c r="K8" s="5" t="s">
        <v>1944</v>
      </c>
      <c r="L8" s="5" t="s">
        <v>32</v>
      </c>
      <c r="M8" s="5" t="s">
        <v>197</v>
      </c>
      <c r="N8" s="5" t="s">
        <v>28</v>
      </c>
      <c r="O8" s="5"/>
      <c r="P8" s="5"/>
    </row>
    <row r="9" customFormat="false" ht="27.75" hidden="false" customHeight="true" outlineLevel="0" collapsed="false">
      <c r="A9" s="5" t="s">
        <v>1945</v>
      </c>
      <c r="B9" s="5" t="s">
        <v>155</v>
      </c>
      <c r="C9" s="5" t="s">
        <v>101</v>
      </c>
      <c r="D9" s="5" t="s">
        <v>1946</v>
      </c>
      <c r="E9" s="5" t="s">
        <v>1947</v>
      </c>
      <c r="F9" s="5" t="s">
        <v>1948</v>
      </c>
      <c r="G9" s="5" t="s">
        <v>1949</v>
      </c>
      <c r="H9" s="5" t="s">
        <v>1950</v>
      </c>
      <c r="I9" s="5" t="s">
        <v>88</v>
      </c>
      <c r="J9" s="5" t="s">
        <v>195</v>
      </c>
      <c r="K9" s="5" t="s">
        <v>1951</v>
      </c>
      <c r="L9" s="5" t="s">
        <v>32</v>
      </c>
      <c r="M9" s="5" t="s">
        <v>197</v>
      </c>
      <c r="N9" s="5" t="s">
        <v>28</v>
      </c>
      <c r="O9" s="5"/>
      <c r="P9" s="5"/>
    </row>
    <row r="10" customFormat="false" ht="27.75" hidden="false" customHeight="true" outlineLevel="0" collapsed="false">
      <c r="A10" s="5" t="s">
        <v>1952</v>
      </c>
      <c r="B10" s="5" t="s">
        <v>155</v>
      </c>
      <c r="C10" s="5" t="s">
        <v>101</v>
      </c>
      <c r="D10" s="5" t="s">
        <v>1953</v>
      </c>
      <c r="E10" s="5" t="s">
        <v>1954</v>
      </c>
      <c r="F10" s="5" t="s">
        <v>296</v>
      </c>
      <c r="G10" s="5" t="s">
        <v>1955</v>
      </c>
      <c r="H10" s="5" t="s">
        <v>1956</v>
      </c>
      <c r="I10" s="5" t="s">
        <v>89</v>
      </c>
      <c r="J10" s="5" t="s">
        <v>185</v>
      </c>
      <c r="K10" s="5"/>
      <c r="L10" s="5" t="s">
        <v>95</v>
      </c>
      <c r="M10" s="5"/>
      <c r="N10" s="5"/>
      <c r="O10" s="5"/>
      <c r="P10" s="5"/>
    </row>
    <row r="11" customFormat="false" ht="15" hidden="false" customHeight="true" outlineLevel="0" collapsed="false">
      <c r="A11" s="5" t="s">
        <v>1957</v>
      </c>
      <c r="B11" s="5" t="s">
        <v>155</v>
      </c>
      <c r="C11" s="5" t="s">
        <v>101</v>
      </c>
      <c r="D11" s="5" t="s">
        <v>1958</v>
      </c>
      <c r="E11" s="5" t="s">
        <v>1959</v>
      </c>
      <c r="F11" s="5" t="s">
        <v>296</v>
      </c>
      <c r="G11" s="5" t="s">
        <v>1960</v>
      </c>
      <c r="H11" s="5" t="s">
        <v>1520</v>
      </c>
      <c r="I11" s="5" t="s">
        <v>89</v>
      </c>
      <c r="J11" s="5" t="s">
        <v>195</v>
      </c>
      <c r="K11" s="5"/>
      <c r="L11" s="5" t="s">
        <v>95</v>
      </c>
      <c r="M11" s="5"/>
      <c r="N11" s="5"/>
      <c r="O11" s="5"/>
      <c r="P11" s="5"/>
    </row>
    <row r="12" customFormat="false" ht="41.25" hidden="false" customHeight="true" outlineLevel="0" collapsed="false">
      <c r="A12" s="5" t="s">
        <v>1961</v>
      </c>
      <c r="B12" s="5" t="s">
        <v>156</v>
      </c>
      <c r="C12" s="5" t="s">
        <v>101</v>
      </c>
      <c r="D12" s="5" t="s">
        <v>1962</v>
      </c>
      <c r="E12" s="5" t="s">
        <v>1963</v>
      </c>
      <c r="F12" s="5" t="s">
        <v>296</v>
      </c>
      <c r="G12" s="5" t="s">
        <v>1964</v>
      </c>
      <c r="H12" s="5" t="s">
        <v>1965</v>
      </c>
      <c r="I12" s="5" t="s">
        <v>88</v>
      </c>
      <c r="J12" s="5" t="s">
        <v>195</v>
      </c>
      <c r="K12" s="5" t="s">
        <v>1966</v>
      </c>
      <c r="L12" s="5" t="s">
        <v>32</v>
      </c>
      <c r="M12" s="5" t="s">
        <v>197</v>
      </c>
      <c r="N12" s="5" t="s">
        <v>28</v>
      </c>
      <c r="O12" s="5"/>
      <c r="P12" s="5"/>
    </row>
    <row r="13" customFormat="false" ht="27.75" hidden="false" customHeight="true" outlineLevel="0" collapsed="false">
      <c r="A13" s="5" t="s">
        <v>1967</v>
      </c>
      <c r="B13" s="5" t="s">
        <v>156</v>
      </c>
      <c r="C13" s="5" t="s">
        <v>101</v>
      </c>
      <c r="D13" s="5" t="s">
        <v>1968</v>
      </c>
      <c r="E13" s="5" t="s">
        <v>1969</v>
      </c>
      <c r="F13" s="5" t="s">
        <v>1970</v>
      </c>
      <c r="G13" s="5" t="s">
        <v>1971</v>
      </c>
      <c r="H13" s="5" t="s">
        <v>1972</v>
      </c>
      <c r="I13" s="5" t="s">
        <v>88</v>
      </c>
      <c r="J13" s="5" t="s">
        <v>195</v>
      </c>
      <c r="K13" s="5" t="s">
        <v>1973</v>
      </c>
      <c r="L13" s="5" t="s">
        <v>32</v>
      </c>
      <c r="M13" s="5" t="s">
        <v>197</v>
      </c>
      <c r="N13" s="5" t="s">
        <v>28</v>
      </c>
      <c r="O13" s="5"/>
      <c r="P13" s="5"/>
    </row>
    <row r="14" customFormat="false" ht="15" hidden="false" customHeight="true" outlineLevel="0" collapsed="false">
      <c r="A14" s="5" t="s">
        <v>1974</v>
      </c>
      <c r="B14" s="5" t="s">
        <v>156</v>
      </c>
      <c r="C14" s="5" t="s">
        <v>101</v>
      </c>
      <c r="D14" s="5" t="s">
        <v>1975</v>
      </c>
      <c r="E14" s="5" t="s">
        <v>1976</v>
      </c>
      <c r="F14" s="5" t="s">
        <v>1977</v>
      </c>
      <c r="G14" s="5" t="s">
        <v>1978</v>
      </c>
      <c r="H14" s="5" t="s">
        <v>1979</v>
      </c>
      <c r="I14" s="5" t="s">
        <v>89</v>
      </c>
      <c r="J14" s="5" t="s">
        <v>195</v>
      </c>
      <c r="K14" s="5"/>
      <c r="L14" s="5" t="s">
        <v>95</v>
      </c>
      <c r="M14" s="5"/>
      <c r="N14" s="5"/>
      <c r="O14" s="5"/>
      <c r="P14" s="5"/>
    </row>
    <row r="15" customFormat="false" ht="27.75" hidden="false" customHeight="true" outlineLevel="0" collapsed="false">
      <c r="A15" s="5" t="s">
        <v>1980</v>
      </c>
      <c r="B15" s="5" t="s">
        <v>156</v>
      </c>
      <c r="C15" s="5" t="s">
        <v>101</v>
      </c>
      <c r="D15" s="5" t="s">
        <v>1981</v>
      </c>
      <c r="E15" s="5" t="s">
        <v>1337</v>
      </c>
      <c r="F15" s="5" t="s">
        <v>296</v>
      </c>
      <c r="G15" s="5" t="s">
        <v>1982</v>
      </c>
      <c r="H15" s="5" t="s">
        <v>1983</v>
      </c>
      <c r="I15" s="5" t="s">
        <v>89</v>
      </c>
      <c r="J15" s="5" t="s">
        <v>185</v>
      </c>
      <c r="K15" s="5"/>
      <c r="L15" s="5" t="s">
        <v>95</v>
      </c>
      <c r="M15" s="5"/>
      <c r="N15" s="5"/>
      <c r="O15" s="5"/>
      <c r="P15" s="5"/>
    </row>
    <row r="16" customFormat="false" ht="27.75" hidden="false" customHeight="true" outlineLevel="0" collapsed="false">
      <c r="A16" s="5" t="s">
        <v>1984</v>
      </c>
      <c r="B16" s="5" t="s">
        <v>157</v>
      </c>
      <c r="C16" s="5" t="s">
        <v>101</v>
      </c>
      <c r="D16" s="5" t="s">
        <v>1985</v>
      </c>
      <c r="E16" s="5" t="s">
        <v>1986</v>
      </c>
      <c r="F16" s="5" t="s">
        <v>296</v>
      </c>
      <c r="G16" s="5" t="s">
        <v>1987</v>
      </c>
      <c r="H16" s="5" t="s">
        <v>1988</v>
      </c>
      <c r="I16" s="5" t="s">
        <v>88</v>
      </c>
      <c r="J16" s="5" t="s">
        <v>195</v>
      </c>
      <c r="K16" s="5" t="s">
        <v>1989</v>
      </c>
      <c r="L16" s="5" t="s">
        <v>32</v>
      </c>
      <c r="M16" s="5" t="s">
        <v>197</v>
      </c>
      <c r="N16" s="5" t="s">
        <v>28</v>
      </c>
      <c r="O16" s="5"/>
      <c r="P16" s="5"/>
    </row>
    <row r="17" customFormat="false" ht="27.75" hidden="false" customHeight="true" outlineLevel="0" collapsed="false">
      <c r="A17" s="5" t="s">
        <v>1990</v>
      </c>
      <c r="B17" s="5" t="s">
        <v>157</v>
      </c>
      <c r="C17" s="5" t="s">
        <v>101</v>
      </c>
      <c r="D17" s="5" t="s">
        <v>1991</v>
      </c>
      <c r="E17" s="5" t="s">
        <v>1986</v>
      </c>
      <c r="F17" s="5" t="s">
        <v>296</v>
      </c>
      <c r="G17" s="5" t="s">
        <v>1992</v>
      </c>
      <c r="H17" s="5" t="s">
        <v>1993</v>
      </c>
      <c r="I17" s="5" t="s">
        <v>88</v>
      </c>
      <c r="J17" s="5" t="s">
        <v>195</v>
      </c>
      <c r="K17" s="5" t="s">
        <v>1994</v>
      </c>
      <c r="L17" s="5" t="s">
        <v>32</v>
      </c>
      <c r="M17" s="5" t="s">
        <v>197</v>
      </c>
      <c r="N17" s="5" t="s">
        <v>28</v>
      </c>
      <c r="O17" s="5"/>
      <c r="P17" s="5"/>
    </row>
    <row r="18" customFormat="false" ht="15" hidden="false" customHeight="true" outlineLevel="0" collapsed="false">
      <c r="A18" s="5" t="s">
        <v>1995</v>
      </c>
      <c r="B18" s="5" t="s">
        <v>157</v>
      </c>
      <c r="C18" s="5" t="s">
        <v>101</v>
      </c>
      <c r="D18" s="5" t="s">
        <v>1996</v>
      </c>
      <c r="E18" s="5" t="s">
        <v>1997</v>
      </c>
      <c r="F18" s="5" t="s">
        <v>1998</v>
      </c>
      <c r="G18" s="5" t="s">
        <v>1999</v>
      </c>
      <c r="H18" s="5" t="s">
        <v>2000</v>
      </c>
      <c r="I18" s="5" t="s">
        <v>89</v>
      </c>
      <c r="J18" s="5" t="s">
        <v>195</v>
      </c>
      <c r="K18" s="5"/>
      <c r="L18" s="5" t="s">
        <v>95</v>
      </c>
      <c r="M18" s="5"/>
      <c r="N18" s="5"/>
      <c r="O18" s="5"/>
      <c r="P18" s="5"/>
    </row>
    <row r="19" customFormat="false" ht="15" hidden="false" customHeight="true" outlineLevel="0" collapsed="false">
      <c r="A19" s="5" t="s">
        <v>2001</v>
      </c>
      <c r="B19" s="5" t="s">
        <v>157</v>
      </c>
      <c r="C19" s="5" t="s">
        <v>101</v>
      </c>
      <c r="D19" s="5" t="s">
        <v>2002</v>
      </c>
      <c r="E19" s="5" t="s">
        <v>2003</v>
      </c>
      <c r="F19" s="5" t="s">
        <v>1977</v>
      </c>
      <c r="G19" s="5" t="s">
        <v>2004</v>
      </c>
      <c r="H19" s="5" t="s">
        <v>2005</v>
      </c>
      <c r="I19" s="5" t="s">
        <v>88</v>
      </c>
      <c r="J19" s="5" t="s">
        <v>195</v>
      </c>
      <c r="K19" s="5" t="s">
        <v>2006</v>
      </c>
      <c r="L19" s="5" t="s">
        <v>32</v>
      </c>
      <c r="M19" s="5" t="s">
        <v>197</v>
      </c>
      <c r="N19" s="5" t="s">
        <v>28</v>
      </c>
      <c r="O19" s="5"/>
      <c r="P19" s="5"/>
    </row>
    <row r="20" customFormat="false" ht="15" hidden="false" customHeight="true" outlineLevel="0" collapsed="false">
      <c r="A20" s="5" t="s">
        <v>2007</v>
      </c>
      <c r="B20" s="5" t="s">
        <v>157</v>
      </c>
      <c r="C20" s="5" t="s">
        <v>101</v>
      </c>
      <c r="D20" s="5" t="s">
        <v>2008</v>
      </c>
      <c r="E20" s="5" t="s">
        <v>2009</v>
      </c>
      <c r="F20" s="5" t="s">
        <v>296</v>
      </c>
      <c r="G20" s="5" t="s">
        <v>2010</v>
      </c>
      <c r="H20" s="5" t="s">
        <v>2011</v>
      </c>
      <c r="I20" s="5" t="s">
        <v>89</v>
      </c>
      <c r="J20" s="5" t="s">
        <v>195</v>
      </c>
      <c r="K20" s="5"/>
      <c r="L20" s="5" t="s">
        <v>95</v>
      </c>
      <c r="M20" s="5"/>
      <c r="N20" s="5"/>
      <c r="O20" s="5"/>
      <c r="P20" s="5"/>
    </row>
    <row r="21" customFormat="false" ht="15" hidden="false" customHeight="true" outlineLevel="0" collapsed="false">
      <c r="A21" s="5" t="s">
        <v>2012</v>
      </c>
      <c r="B21" s="5" t="s">
        <v>157</v>
      </c>
      <c r="C21" s="5" t="s">
        <v>101</v>
      </c>
      <c r="D21" s="5" t="s">
        <v>2013</v>
      </c>
      <c r="E21" s="5" t="s">
        <v>2014</v>
      </c>
      <c r="F21" s="5" t="s">
        <v>296</v>
      </c>
      <c r="G21" s="5" t="s">
        <v>2015</v>
      </c>
      <c r="H21" s="5" t="s">
        <v>2016</v>
      </c>
      <c r="I21" s="5" t="s">
        <v>90</v>
      </c>
      <c r="J21" s="5" t="s">
        <v>185</v>
      </c>
      <c r="K21" s="5"/>
      <c r="L21" s="5" t="s">
        <v>95</v>
      </c>
      <c r="M21" s="5"/>
      <c r="N21" s="5"/>
      <c r="O21" s="5"/>
      <c r="P21" s="5"/>
    </row>
    <row r="22" customFormat="false" ht="15" hidden="false" customHeight="true" outlineLevel="0" collapsed="false">
      <c r="A22" s="5" t="s">
        <v>2017</v>
      </c>
      <c r="B22" s="5" t="s">
        <v>157</v>
      </c>
      <c r="C22" s="5" t="s">
        <v>101</v>
      </c>
      <c r="D22" s="5" t="s">
        <v>2018</v>
      </c>
      <c r="E22" s="5" t="s">
        <v>2019</v>
      </c>
      <c r="F22" s="5" t="s">
        <v>296</v>
      </c>
      <c r="G22" s="5" t="s">
        <v>2020</v>
      </c>
      <c r="H22" s="5" t="s">
        <v>2021</v>
      </c>
      <c r="I22" s="5" t="s">
        <v>90</v>
      </c>
      <c r="J22" s="5" t="s">
        <v>218</v>
      </c>
      <c r="K22" s="5"/>
      <c r="L22" s="5" t="s">
        <v>95</v>
      </c>
      <c r="M22" s="5"/>
      <c r="N22" s="5"/>
      <c r="O22" s="5"/>
      <c r="P22" s="5"/>
    </row>
    <row r="23" customFormat="false" ht="27.75" hidden="false" customHeight="true" outlineLevel="0" collapsed="false">
      <c r="A23" s="5" t="s">
        <v>2022</v>
      </c>
      <c r="B23" s="5" t="s">
        <v>158</v>
      </c>
      <c r="C23" s="5" t="s">
        <v>101</v>
      </c>
      <c r="D23" s="5" t="s">
        <v>2023</v>
      </c>
      <c r="E23" s="5" t="s">
        <v>1907</v>
      </c>
      <c r="F23" s="5" t="s">
        <v>2024</v>
      </c>
      <c r="G23" s="5" t="s">
        <v>2025</v>
      </c>
      <c r="H23" s="5" t="s">
        <v>2026</v>
      </c>
      <c r="I23" s="5" t="s">
        <v>88</v>
      </c>
      <c r="J23" s="5" t="s">
        <v>195</v>
      </c>
      <c r="K23" s="5" t="s">
        <v>2027</v>
      </c>
      <c r="L23" s="5" t="s">
        <v>32</v>
      </c>
      <c r="M23" s="5" t="s">
        <v>197</v>
      </c>
      <c r="N23" s="5" t="s">
        <v>28</v>
      </c>
      <c r="O23" s="5"/>
      <c r="P23" s="5"/>
    </row>
    <row r="24" customFormat="false" ht="15" hidden="false" customHeight="true" outlineLevel="0" collapsed="false">
      <c r="A24" s="5" t="s">
        <v>2028</v>
      </c>
      <c r="B24" s="5" t="s">
        <v>158</v>
      </c>
      <c r="C24" s="5" t="s">
        <v>101</v>
      </c>
      <c r="D24" s="5" t="s">
        <v>2029</v>
      </c>
      <c r="E24" s="5" t="s">
        <v>1907</v>
      </c>
      <c r="F24" s="5" t="s">
        <v>2030</v>
      </c>
      <c r="G24" s="5" t="s">
        <v>2031</v>
      </c>
      <c r="H24" s="5" t="s">
        <v>2032</v>
      </c>
      <c r="I24" s="5" t="s">
        <v>88</v>
      </c>
      <c r="J24" s="5" t="s">
        <v>195</v>
      </c>
      <c r="K24" s="5" t="s">
        <v>2033</v>
      </c>
      <c r="L24" s="5" t="s">
        <v>32</v>
      </c>
      <c r="M24" s="5" t="s">
        <v>197</v>
      </c>
      <c r="N24" s="5" t="s">
        <v>28</v>
      </c>
      <c r="O24" s="5"/>
      <c r="P24" s="5"/>
    </row>
    <row r="25" customFormat="false" ht="41.25" hidden="false" customHeight="true" outlineLevel="0" collapsed="false">
      <c r="A25" s="5" t="s">
        <v>2034</v>
      </c>
      <c r="B25" s="5" t="s">
        <v>158</v>
      </c>
      <c r="C25" s="5" t="s">
        <v>101</v>
      </c>
      <c r="D25" s="5" t="s">
        <v>2035</v>
      </c>
      <c r="E25" s="5" t="s">
        <v>2036</v>
      </c>
      <c r="F25" s="5" t="s">
        <v>2037</v>
      </c>
      <c r="G25" s="5" t="s">
        <v>2038</v>
      </c>
      <c r="H25" s="5" t="s">
        <v>2039</v>
      </c>
      <c r="I25" s="5" t="s">
        <v>88</v>
      </c>
      <c r="J25" s="5" t="s">
        <v>195</v>
      </c>
      <c r="K25" s="5" t="s">
        <v>2040</v>
      </c>
      <c r="L25" s="5" t="s">
        <v>32</v>
      </c>
      <c r="M25" s="5" t="s">
        <v>197</v>
      </c>
      <c r="N25" s="5" t="s">
        <v>28</v>
      </c>
      <c r="O25" s="5"/>
      <c r="P25" s="5"/>
    </row>
    <row r="26" customFormat="false" ht="15" hidden="false" customHeight="true" outlineLevel="0" collapsed="false">
      <c r="A26" s="5" t="s">
        <v>2041</v>
      </c>
      <c r="B26" s="5" t="s">
        <v>158</v>
      </c>
      <c r="C26" s="5" t="s">
        <v>101</v>
      </c>
      <c r="D26" s="5" t="s">
        <v>2042</v>
      </c>
      <c r="E26" s="5" t="s">
        <v>2036</v>
      </c>
      <c r="F26" s="5" t="s">
        <v>1941</v>
      </c>
      <c r="G26" s="5" t="s">
        <v>2043</v>
      </c>
      <c r="H26" s="5" t="s">
        <v>2044</v>
      </c>
      <c r="I26" s="5" t="s">
        <v>88</v>
      </c>
      <c r="J26" s="5" t="s">
        <v>218</v>
      </c>
      <c r="K26" s="5" t="s">
        <v>2045</v>
      </c>
      <c r="L26" s="5" t="s">
        <v>32</v>
      </c>
      <c r="M26" s="5" t="s">
        <v>197</v>
      </c>
      <c r="N26" s="5" t="s">
        <v>28</v>
      </c>
      <c r="O26" s="5"/>
      <c r="P26" s="5"/>
    </row>
    <row r="27" customFormat="false" ht="15" hidden="false" customHeight="true" outlineLevel="0" collapsed="false">
      <c r="A27" s="5" t="s">
        <v>2046</v>
      </c>
      <c r="B27" s="5" t="s">
        <v>158</v>
      </c>
      <c r="C27" s="5" t="s">
        <v>101</v>
      </c>
      <c r="D27" s="5" t="s">
        <v>2047</v>
      </c>
      <c r="E27" s="5" t="s">
        <v>2048</v>
      </c>
      <c r="F27" s="5" t="s">
        <v>296</v>
      </c>
      <c r="G27" s="5" t="s">
        <v>2049</v>
      </c>
      <c r="H27" s="5" t="s">
        <v>2050</v>
      </c>
      <c r="I27" s="5" t="s">
        <v>88</v>
      </c>
      <c r="J27" s="5" t="s">
        <v>195</v>
      </c>
      <c r="K27" s="5" t="s">
        <v>2051</v>
      </c>
      <c r="L27" s="5" t="s">
        <v>32</v>
      </c>
      <c r="M27" s="5" t="s">
        <v>197</v>
      </c>
      <c r="N27" s="5" t="s">
        <v>28</v>
      </c>
      <c r="O27" s="5"/>
      <c r="P27" s="5"/>
    </row>
    <row r="28" customFormat="false" ht="27.75" hidden="false" customHeight="true" outlineLevel="0" collapsed="false">
      <c r="A28" s="5" t="s">
        <v>2052</v>
      </c>
      <c r="B28" s="5" t="s">
        <v>158</v>
      </c>
      <c r="C28" s="5" t="s">
        <v>101</v>
      </c>
      <c r="D28" s="5" t="s">
        <v>2053</v>
      </c>
      <c r="E28" s="5" t="s">
        <v>296</v>
      </c>
      <c r="F28" s="5" t="s">
        <v>296</v>
      </c>
      <c r="G28" s="5" t="s">
        <v>2054</v>
      </c>
      <c r="H28" s="5" t="s">
        <v>2055</v>
      </c>
      <c r="I28" s="5" t="s">
        <v>90</v>
      </c>
      <c r="J28" s="5" t="s">
        <v>185</v>
      </c>
      <c r="K28" s="5"/>
      <c r="L28" s="5" t="s">
        <v>95</v>
      </c>
      <c r="M28" s="5"/>
      <c r="N28" s="5"/>
      <c r="O28" s="5"/>
      <c r="P28" s="5"/>
    </row>
    <row r="29" customFormat="false" ht="27.75" hidden="false" customHeight="true" outlineLevel="0" collapsed="false">
      <c r="A29" s="5" t="s">
        <v>2056</v>
      </c>
      <c r="B29" s="5" t="s">
        <v>159</v>
      </c>
      <c r="C29" s="5" t="s">
        <v>101</v>
      </c>
      <c r="D29" s="5" t="s">
        <v>2057</v>
      </c>
      <c r="E29" s="5" t="s">
        <v>2058</v>
      </c>
      <c r="F29" s="5" t="s">
        <v>2059</v>
      </c>
      <c r="G29" s="5" t="s">
        <v>2060</v>
      </c>
      <c r="H29" s="5" t="s">
        <v>2061</v>
      </c>
      <c r="I29" s="5" t="s">
        <v>89</v>
      </c>
      <c r="J29" s="5" t="s">
        <v>195</v>
      </c>
      <c r="K29" s="5"/>
      <c r="L29" s="5" t="s">
        <v>95</v>
      </c>
      <c r="M29" s="5"/>
      <c r="N29" s="5"/>
      <c r="O29" s="5"/>
      <c r="P29" s="5"/>
    </row>
    <row r="30" customFormat="false" ht="27.75" hidden="false" customHeight="true" outlineLevel="0" collapsed="false">
      <c r="A30" s="5" t="s">
        <v>2062</v>
      </c>
      <c r="B30" s="5" t="s">
        <v>159</v>
      </c>
      <c r="C30" s="5" t="s">
        <v>101</v>
      </c>
      <c r="D30" s="5" t="s">
        <v>2063</v>
      </c>
      <c r="E30" s="5" t="s">
        <v>2064</v>
      </c>
      <c r="F30" s="5" t="s">
        <v>296</v>
      </c>
      <c r="G30" s="5" t="s">
        <v>2065</v>
      </c>
      <c r="H30" s="5" t="s">
        <v>2066</v>
      </c>
      <c r="I30" s="5" t="s">
        <v>89</v>
      </c>
      <c r="J30" s="5" t="s">
        <v>210</v>
      </c>
      <c r="K30" s="5"/>
      <c r="L30" s="5" t="s">
        <v>95</v>
      </c>
      <c r="M30" s="5"/>
      <c r="N30" s="5"/>
      <c r="O30" s="5"/>
      <c r="P30" s="5"/>
    </row>
    <row r="31" customFormat="false" ht="15" hidden="false" customHeight="true" outlineLevel="0" collapsed="false">
      <c r="A31" s="5" t="s">
        <v>2067</v>
      </c>
      <c r="B31" s="5" t="s">
        <v>159</v>
      </c>
      <c r="C31" s="5" t="s">
        <v>101</v>
      </c>
      <c r="D31" s="5" t="s">
        <v>2068</v>
      </c>
      <c r="E31" s="5" t="s">
        <v>2069</v>
      </c>
      <c r="F31" s="5" t="s">
        <v>215</v>
      </c>
      <c r="G31" s="5" t="s">
        <v>2070</v>
      </c>
      <c r="H31" s="5" t="s">
        <v>2071</v>
      </c>
      <c r="I31" s="5" t="s">
        <v>89</v>
      </c>
      <c r="J31" s="5" t="s">
        <v>218</v>
      </c>
      <c r="K31" s="5"/>
      <c r="L31" s="5" t="s">
        <v>95</v>
      </c>
      <c r="M31" s="5"/>
      <c r="N31" s="5"/>
      <c r="O31" s="5"/>
      <c r="P31" s="5"/>
    </row>
    <row r="32" customFormat="false" ht="15" hidden="false" customHeight="true" outlineLevel="0" collapsed="false">
      <c r="A32" s="5" t="s">
        <v>2072</v>
      </c>
      <c r="B32" s="5" t="s">
        <v>159</v>
      </c>
      <c r="C32" s="5" t="s">
        <v>101</v>
      </c>
      <c r="D32" s="5" t="s">
        <v>2073</v>
      </c>
      <c r="E32" s="5" t="s">
        <v>1907</v>
      </c>
      <c r="F32" s="5" t="s">
        <v>296</v>
      </c>
      <c r="G32" s="5" t="s">
        <v>2074</v>
      </c>
      <c r="H32" s="5" t="s">
        <v>2075</v>
      </c>
      <c r="I32" s="5" t="s">
        <v>88</v>
      </c>
      <c r="J32" s="5" t="s">
        <v>210</v>
      </c>
      <c r="K32" s="5" t="s">
        <v>2076</v>
      </c>
      <c r="L32" s="5" t="s">
        <v>32</v>
      </c>
      <c r="M32" s="5" t="s">
        <v>197</v>
      </c>
      <c r="N32" s="5" t="s">
        <v>28</v>
      </c>
      <c r="O32" s="5"/>
      <c r="P32" s="5"/>
    </row>
    <row r="33" customFormat="false" ht="15" hidden="false" customHeight="true" outlineLevel="0" collapsed="false">
      <c r="A33" s="5" t="s">
        <v>2077</v>
      </c>
      <c r="B33" s="5" t="s">
        <v>159</v>
      </c>
      <c r="C33" s="5" t="s">
        <v>101</v>
      </c>
      <c r="D33" s="5" t="s">
        <v>2078</v>
      </c>
      <c r="E33" s="5" t="s">
        <v>2064</v>
      </c>
      <c r="F33" s="5" t="s">
        <v>296</v>
      </c>
      <c r="G33" s="5" t="s">
        <v>2079</v>
      </c>
      <c r="H33" s="5" t="s">
        <v>2080</v>
      </c>
      <c r="I33" s="5" t="s">
        <v>88</v>
      </c>
      <c r="J33" s="5" t="s">
        <v>210</v>
      </c>
      <c r="K33" s="5" t="s">
        <v>2081</v>
      </c>
      <c r="L33" s="5" t="s">
        <v>32</v>
      </c>
      <c r="M33" s="5" t="s">
        <v>197</v>
      </c>
      <c r="N33" s="5" t="s">
        <v>28</v>
      </c>
      <c r="O33" s="5"/>
      <c r="P33" s="5"/>
    </row>
    <row r="34" customFormat="false" ht="41.25" hidden="false" customHeight="true" outlineLevel="0" collapsed="false">
      <c r="A34" s="5" t="s">
        <v>2082</v>
      </c>
      <c r="B34" s="5" t="s">
        <v>160</v>
      </c>
      <c r="C34" s="5" t="s">
        <v>101</v>
      </c>
      <c r="D34" s="5" t="s">
        <v>2083</v>
      </c>
      <c r="E34" s="5" t="s">
        <v>1907</v>
      </c>
      <c r="F34" s="5" t="s">
        <v>2084</v>
      </c>
      <c r="G34" s="5" t="s">
        <v>2085</v>
      </c>
      <c r="H34" s="5" t="s">
        <v>2086</v>
      </c>
      <c r="I34" s="5" t="s">
        <v>89</v>
      </c>
      <c r="J34" s="5" t="s">
        <v>195</v>
      </c>
      <c r="K34" s="5"/>
      <c r="L34" s="5" t="s">
        <v>95</v>
      </c>
      <c r="M34" s="5"/>
      <c r="N34" s="5"/>
      <c r="O34" s="5"/>
      <c r="P34" s="5"/>
    </row>
    <row r="35" customFormat="false" ht="15" hidden="false" customHeight="true" outlineLevel="0" collapsed="false">
      <c r="A35" s="5" t="s">
        <v>2087</v>
      </c>
      <c r="B35" s="5" t="s">
        <v>160</v>
      </c>
      <c r="C35" s="5" t="s">
        <v>101</v>
      </c>
      <c r="D35" s="5" t="s">
        <v>2088</v>
      </c>
      <c r="E35" s="5" t="s">
        <v>2089</v>
      </c>
      <c r="F35" s="5" t="s">
        <v>2090</v>
      </c>
      <c r="G35" s="5" t="s">
        <v>2091</v>
      </c>
      <c r="H35" s="5" t="s">
        <v>2092</v>
      </c>
      <c r="I35" s="5" t="s">
        <v>89</v>
      </c>
      <c r="J35" s="5" t="s">
        <v>218</v>
      </c>
      <c r="K35" s="5"/>
      <c r="L35" s="5" t="s">
        <v>95</v>
      </c>
      <c r="M35" s="5"/>
      <c r="N35" s="5"/>
      <c r="O35" s="5"/>
      <c r="P35" s="5"/>
    </row>
    <row r="36" customFormat="false" ht="27.75" hidden="false" customHeight="true" outlineLevel="0" collapsed="false">
      <c r="A36" s="5" t="s">
        <v>2093</v>
      </c>
      <c r="B36" s="5" t="s">
        <v>160</v>
      </c>
      <c r="C36" s="5" t="s">
        <v>101</v>
      </c>
      <c r="D36" s="5" t="s">
        <v>2094</v>
      </c>
      <c r="E36" s="5" t="s">
        <v>2095</v>
      </c>
      <c r="F36" s="5" t="s">
        <v>296</v>
      </c>
      <c r="G36" s="5" t="s">
        <v>2096</v>
      </c>
      <c r="H36" s="5" t="s">
        <v>2097</v>
      </c>
      <c r="I36" s="5" t="s">
        <v>89</v>
      </c>
      <c r="J36" s="5" t="s">
        <v>195</v>
      </c>
      <c r="K36" s="5"/>
      <c r="L36" s="5" t="s">
        <v>95</v>
      </c>
      <c r="M36" s="5"/>
      <c r="N36" s="5"/>
      <c r="O36" s="5"/>
      <c r="P36" s="5"/>
    </row>
    <row r="37" customFormat="false" ht="15" hidden="false" customHeight="true" outlineLevel="0" collapsed="false">
      <c r="A37" s="5" t="s">
        <v>2098</v>
      </c>
      <c r="B37" s="5" t="s">
        <v>160</v>
      </c>
      <c r="C37" s="5" t="s">
        <v>101</v>
      </c>
      <c r="D37" s="5" t="s">
        <v>2099</v>
      </c>
      <c r="E37" s="5" t="s">
        <v>2100</v>
      </c>
      <c r="F37" s="5" t="s">
        <v>296</v>
      </c>
      <c r="G37" s="5" t="s">
        <v>2101</v>
      </c>
      <c r="H37" s="5" t="s">
        <v>2102</v>
      </c>
      <c r="I37" s="5" t="s">
        <v>89</v>
      </c>
      <c r="J37" s="5" t="s">
        <v>218</v>
      </c>
      <c r="K37" s="5"/>
      <c r="L37" s="5" t="s">
        <v>95</v>
      </c>
      <c r="M37" s="5"/>
      <c r="N37" s="5"/>
      <c r="O37" s="5"/>
      <c r="P37" s="5"/>
    </row>
    <row r="38" customFormat="false" ht="27.75" hidden="false" customHeight="true" outlineLevel="0" collapsed="false">
      <c r="A38" s="5" t="s">
        <v>2103</v>
      </c>
      <c r="B38" s="5" t="s">
        <v>160</v>
      </c>
      <c r="C38" s="5" t="s">
        <v>101</v>
      </c>
      <c r="D38" s="5" t="s">
        <v>2104</v>
      </c>
      <c r="E38" s="5" t="s">
        <v>1907</v>
      </c>
      <c r="F38" s="5" t="s">
        <v>2105</v>
      </c>
      <c r="G38" s="5" t="s">
        <v>2106</v>
      </c>
      <c r="H38" s="5" t="s">
        <v>2107</v>
      </c>
      <c r="I38" s="5" t="s">
        <v>90</v>
      </c>
      <c r="J38" s="5" t="s">
        <v>195</v>
      </c>
      <c r="K38" s="5"/>
      <c r="L38" s="5" t="s">
        <v>95</v>
      </c>
      <c r="M38" s="5"/>
      <c r="N38" s="5"/>
      <c r="O38" s="5"/>
      <c r="P38" s="5"/>
    </row>
    <row r="39" customFormat="false" ht="54.75" hidden="false" customHeight="true" outlineLevel="0" collapsed="false">
      <c r="A39" s="5" t="s">
        <v>2108</v>
      </c>
      <c r="B39" s="5" t="s">
        <v>161</v>
      </c>
      <c r="C39" s="5" t="s">
        <v>101</v>
      </c>
      <c r="D39" s="5" t="s">
        <v>2109</v>
      </c>
      <c r="E39" s="5" t="s">
        <v>1907</v>
      </c>
      <c r="F39" s="5" t="s">
        <v>2110</v>
      </c>
      <c r="G39" s="5" t="s">
        <v>2111</v>
      </c>
      <c r="H39" s="5" t="s">
        <v>2112</v>
      </c>
      <c r="I39" s="5" t="s">
        <v>89</v>
      </c>
      <c r="J39" s="5" t="s">
        <v>195</v>
      </c>
      <c r="K39" s="5"/>
      <c r="L39" s="5" t="s">
        <v>95</v>
      </c>
      <c r="M39" s="5"/>
      <c r="N39" s="5"/>
      <c r="O39" s="5"/>
      <c r="P39" s="5"/>
    </row>
    <row r="40" customFormat="false" ht="15" hidden="false" customHeight="true" outlineLevel="0" collapsed="false">
      <c r="A40" s="5" t="s">
        <v>2113</v>
      </c>
      <c r="B40" s="5" t="s">
        <v>161</v>
      </c>
      <c r="C40" s="5" t="s">
        <v>101</v>
      </c>
      <c r="D40" s="5" t="s">
        <v>2114</v>
      </c>
      <c r="E40" s="5" t="s">
        <v>1907</v>
      </c>
      <c r="F40" s="5" t="s">
        <v>2115</v>
      </c>
      <c r="G40" s="5" t="s">
        <v>1503</v>
      </c>
      <c r="H40" s="5" t="s">
        <v>2116</v>
      </c>
      <c r="I40" s="5" t="s">
        <v>90</v>
      </c>
      <c r="J40" s="5" t="s">
        <v>218</v>
      </c>
      <c r="K40" s="5"/>
      <c r="L40" s="5" t="s">
        <v>95</v>
      </c>
      <c r="M40" s="5"/>
      <c r="N40" s="5"/>
      <c r="O40" s="5"/>
      <c r="P40" s="5"/>
    </row>
    <row r="41" customFormat="false" ht="41.25" hidden="false" customHeight="true" outlineLevel="0" collapsed="false">
      <c r="A41" s="5" t="s">
        <v>2117</v>
      </c>
      <c r="B41" s="5" t="s">
        <v>161</v>
      </c>
      <c r="C41" s="5" t="s">
        <v>101</v>
      </c>
      <c r="D41" s="5" t="s">
        <v>2118</v>
      </c>
      <c r="E41" s="5" t="s">
        <v>1907</v>
      </c>
      <c r="F41" s="5" t="s">
        <v>2119</v>
      </c>
      <c r="G41" s="5" t="s">
        <v>2120</v>
      </c>
      <c r="H41" s="5" t="s">
        <v>2121</v>
      </c>
      <c r="I41" s="5" t="s">
        <v>89</v>
      </c>
      <c r="J41" s="5" t="s">
        <v>195</v>
      </c>
      <c r="K41" s="5"/>
      <c r="L41" s="5" t="s">
        <v>95</v>
      </c>
      <c r="M41" s="5"/>
      <c r="N41" s="5"/>
      <c r="O41" s="5"/>
      <c r="P41" s="5"/>
    </row>
    <row r="42" customFormat="false" ht="27.75" hidden="false" customHeight="true" outlineLevel="0" collapsed="false">
      <c r="A42" s="5" t="s">
        <v>2122</v>
      </c>
      <c r="B42" s="5" t="s">
        <v>161</v>
      </c>
      <c r="C42" s="5" t="s">
        <v>101</v>
      </c>
      <c r="D42" s="5" t="s">
        <v>2123</v>
      </c>
      <c r="E42" s="5" t="s">
        <v>1907</v>
      </c>
      <c r="F42" s="5" t="s">
        <v>2124</v>
      </c>
      <c r="G42" s="5" t="s">
        <v>2125</v>
      </c>
      <c r="H42" s="5" t="s">
        <v>2126</v>
      </c>
      <c r="I42" s="5" t="s">
        <v>90</v>
      </c>
      <c r="J42" s="5" t="s">
        <v>242</v>
      </c>
      <c r="K42" s="5"/>
      <c r="L42" s="5" t="s">
        <v>95</v>
      </c>
      <c r="M42" s="5"/>
      <c r="N42" s="5"/>
      <c r="O42" s="5"/>
      <c r="P42" s="5"/>
    </row>
    <row r="43" customFormat="false" ht="27.75" hidden="false" customHeight="true" outlineLevel="0" collapsed="false">
      <c r="A43" s="5" t="s">
        <v>2127</v>
      </c>
      <c r="B43" s="5" t="s">
        <v>162</v>
      </c>
      <c r="C43" s="5" t="s">
        <v>101</v>
      </c>
      <c r="D43" s="5" t="s">
        <v>2128</v>
      </c>
      <c r="E43" s="5" t="s">
        <v>1907</v>
      </c>
      <c r="F43" s="5" t="s">
        <v>2129</v>
      </c>
      <c r="G43" s="5" t="s">
        <v>2130</v>
      </c>
      <c r="H43" s="5" t="s">
        <v>2131</v>
      </c>
      <c r="I43" s="5" t="s">
        <v>89</v>
      </c>
      <c r="J43" s="5" t="s">
        <v>195</v>
      </c>
      <c r="K43" s="5"/>
      <c r="L43" s="5" t="s">
        <v>95</v>
      </c>
      <c r="M43" s="5"/>
      <c r="N43" s="5"/>
      <c r="O43" s="5"/>
      <c r="P43" s="5"/>
    </row>
    <row r="44" customFormat="false" ht="27.75" hidden="false" customHeight="true" outlineLevel="0" collapsed="false">
      <c r="A44" s="5" t="s">
        <v>2132</v>
      </c>
      <c r="B44" s="5" t="s">
        <v>162</v>
      </c>
      <c r="C44" s="5" t="s">
        <v>101</v>
      </c>
      <c r="D44" s="5" t="s">
        <v>2133</v>
      </c>
      <c r="E44" s="5" t="s">
        <v>1907</v>
      </c>
      <c r="F44" s="5" t="s">
        <v>2134</v>
      </c>
      <c r="G44" s="5" t="s">
        <v>2135</v>
      </c>
      <c r="H44" s="5" t="s">
        <v>2136</v>
      </c>
      <c r="I44" s="5" t="s">
        <v>89</v>
      </c>
      <c r="J44" s="5" t="s">
        <v>242</v>
      </c>
      <c r="K44" s="5"/>
      <c r="L44" s="5" t="s">
        <v>95</v>
      </c>
      <c r="M44" s="5"/>
      <c r="N44" s="5"/>
      <c r="O44" s="5"/>
      <c r="P44" s="5"/>
    </row>
    <row r="45" customFormat="false" ht="15" hidden="false" customHeight="true" outlineLevel="0" collapsed="false">
      <c r="A45" s="5" t="s">
        <v>2137</v>
      </c>
      <c r="B45" s="5" t="s">
        <v>162</v>
      </c>
      <c r="C45" s="5" t="s">
        <v>101</v>
      </c>
      <c r="D45" s="5" t="s">
        <v>2138</v>
      </c>
      <c r="E45" s="5" t="s">
        <v>1907</v>
      </c>
      <c r="F45" s="5" t="s">
        <v>2139</v>
      </c>
      <c r="G45" s="5" t="s">
        <v>2135</v>
      </c>
      <c r="H45" s="5" t="s">
        <v>2140</v>
      </c>
      <c r="I45" s="5" t="s">
        <v>90</v>
      </c>
      <c r="J45" s="5" t="s">
        <v>242</v>
      </c>
      <c r="K45" s="5"/>
      <c r="L45" s="5" t="s">
        <v>95</v>
      </c>
      <c r="M45" s="5"/>
      <c r="N45" s="5"/>
      <c r="O45" s="5"/>
      <c r="P45" s="5"/>
    </row>
    <row r="46" customFormat="false" ht="27.75" hidden="false" customHeight="true" outlineLevel="0" collapsed="false">
      <c r="A46" s="5" t="s">
        <v>2141</v>
      </c>
      <c r="B46" s="5" t="s">
        <v>163</v>
      </c>
      <c r="C46" s="5" t="s">
        <v>101</v>
      </c>
      <c r="D46" s="5" t="s">
        <v>2142</v>
      </c>
      <c r="E46" s="5" t="s">
        <v>2143</v>
      </c>
      <c r="F46" s="5" t="s">
        <v>296</v>
      </c>
      <c r="G46" s="5" t="s">
        <v>2144</v>
      </c>
      <c r="H46" s="5" t="s">
        <v>2145</v>
      </c>
      <c r="I46" s="5" t="s">
        <v>89</v>
      </c>
      <c r="J46" s="5" t="s">
        <v>195</v>
      </c>
      <c r="K46" s="5"/>
      <c r="L46" s="5" t="s">
        <v>95</v>
      </c>
      <c r="M46" s="5"/>
      <c r="N46" s="5"/>
      <c r="O46" s="5"/>
      <c r="P46" s="5"/>
    </row>
    <row r="47" customFormat="false" ht="15" hidden="false" customHeight="true" outlineLevel="0" collapsed="false">
      <c r="A47" s="5" t="s">
        <v>2146</v>
      </c>
      <c r="B47" s="5" t="s">
        <v>163</v>
      </c>
      <c r="C47" s="5" t="s">
        <v>101</v>
      </c>
      <c r="D47" s="5" t="s">
        <v>2147</v>
      </c>
      <c r="E47" s="5" t="s">
        <v>2148</v>
      </c>
      <c r="F47" s="5" t="s">
        <v>296</v>
      </c>
      <c r="G47" s="5" t="s">
        <v>2149</v>
      </c>
      <c r="H47" s="5" t="s">
        <v>2150</v>
      </c>
      <c r="I47" s="5" t="s">
        <v>90</v>
      </c>
      <c r="J47" s="5" t="s">
        <v>195</v>
      </c>
      <c r="K47" s="5"/>
      <c r="L47" s="5" t="s">
        <v>95</v>
      </c>
      <c r="M47" s="5"/>
      <c r="N47" s="5"/>
      <c r="O47" s="5"/>
      <c r="P47" s="5"/>
    </row>
    <row r="48" customFormat="false" ht="27.75" hidden="false" customHeight="true" outlineLevel="0" collapsed="false">
      <c r="A48" s="5" t="s">
        <v>2151</v>
      </c>
      <c r="B48" s="5" t="s">
        <v>163</v>
      </c>
      <c r="C48" s="5" t="s">
        <v>101</v>
      </c>
      <c r="D48" s="5" t="s">
        <v>2152</v>
      </c>
      <c r="E48" s="5" t="s">
        <v>2153</v>
      </c>
      <c r="F48" s="5" t="s">
        <v>296</v>
      </c>
      <c r="G48" s="5" t="s">
        <v>2154</v>
      </c>
      <c r="H48" s="5" t="s">
        <v>2155</v>
      </c>
      <c r="I48" s="5" t="s">
        <v>90</v>
      </c>
      <c r="J48" s="5" t="s">
        <v>195</v>
      </c>
      <c r="K48" s="5"/>
      <c r="L48" s="5" t="s">
        <v>95</v>
      </c>
      <c r="M48" s="5"/>
      <c r="N48" s="5"/>
      <c r="O48" s="5"/>
      <c r="P48" s="5"/>
    </row>
    <row r="49" customFormat="false" ht="27.75" hidden="false" customHeight="true" outlineLevel="0" collapsed="false">
      <c r="A49" s="5" t="s">
        <v>2156</v>
      </c>
      <c r="B49" s="5" t="s">
        <v>164</v>
      </c>
      <c r="C49" s="5" t="s">
        <v>101</v>
      </c>
      <c r="D49" s="5" t="s">
        <v>2157</v>
      </c>
      <c r="E49" s="5" t="s">
        <v>2158</v>
      </c>
      <c r="F49" s="5" t="s">
        <v>296</v>
      </c>
      <c r="G49" s="5" t="s">
        <v>2159</v>
      </c>
      <c r="H49" s="5" t="s">
        <v>2160</v>
      </c>
      <c r="I49" s="5" t="s">
        <v>90</v>
      </c>
      <c r="J49" s="5" t="s">
        <v>195</v>
      </c>
      <c r="K49" s="5"/>
      <c r="L49" s="5" t="s">
        <v>95</v>
      </c>
      <c r="M49" s="5"/>
      <c r="N49" s="5"/>
      <c r="O49" s="5"/>
      <c r="P49" s="5"/>
    </row>
    <row r="50" customFormat="false" ht="27.75" hidden="false" customHeight="true" outlineLevel="0" collapsed="false">
      <c r="A50" s="5" t="s">
        <v>2161</v>
      </c>
      <c r="B50" s="5" t="s">
        <v>164</v>
      </c>
      <c r="C50" s="5" t="s">
        <v>101</v>
      </c>
      <c r="D50" s="5" t="s">
        <v>2162</v>
      </c>
      <c r="E50" s="5" t="s">
        <v>2163</v>
      </c>
      <c r="F50" s="5" t="s">
        <v>296</v>
      </c>
      <c r="G50" s="5" t="s">
        <v>2164</v>
      </c>
      <c r="H50" s="5" t="s">
        <v>2165</v>
      </c>
      <c r="I50" s="5" t="s">
        <v>89</v>
      </c>
      <c r="J50" s="5" t="s">
        <v>195</v>
      </c>
      <c r="K50" s="5" t="s">
        <v>2166</v>
      </c>
      <c r="L50" s="5" t="s">
        <v>32</v>
      </c>
      <c r="M50" s="5" t="s">
        <v>197</v>
      </c>
      <c r="N50" s="5" t="s">
        <v>28</v>
      </c>
      <c r="O50" s="5"/>
      <c r="P50" s="5"/>
    </row>
    <row r="51" customFormat="false" ht="41.25" hidden="false" customHeight="true" outlineLevel="0" collapsed="false">
      <c r="A51" s="5" t="s">
        <v>2167</v>
      </c>
      <c r="B51" s="5" t="s">
        <v>164</v>
      </c>
      <c r="C51" s="5" t="s">
        <v>101</v>
      </c>
      <c r="D51" s="5" t="s">
        <v>2168</v>
      </c>
      <c r="E51" s="5" t="s">
        <v>2169</v>
      </c>
      <c r="F51" s="5" t="s">
        <v>2170</v>
      </c>
      <c r="G51" s="5" t="s">
        <v>2171</v>
      </c>
      <c r="H51" s="5" t="s">
        <v>2172</v>
      </c>
      <c r="I51" s="5" t="s">
        <v>89</v>
      </c>
      <c r="J51" s="5" t="s">
        <v>195</v>
      </c>
      <c r="K51" s="5" t="s">
        <v>2173</v>
      </c>
      <c r="L51" s="5" t="s">
        <v>32</v>
      </c>
      <c r="M51" s="5" t="s">
        <v>197</v>
      </c>
      <c r="N51" s="5" t="s">
        <v>28</v>
      </c>
      <c r="O51" s="5"/>
      <c r="P51" s="5"/>
    </row>
    <row r="52" customFormat="false" ht="15" hidden="false" customHeight="true" outlineLevel="0" collapsed="false">
      <c r="A52" s="5" t="s">
        <v>2174</v>
      </c>
      <c r="B52" s="5" t="s">
        <v>164</v>
      </c>
      <c r="C52" s="5" t="s">
        <v>101</v>
      </c>
      <c r="D52" s="5" t="s">
        <v>1940</v>
      </c>
      <c r="E52" s="5" t="s">
        <v>2169</v>
      </c>
      <c r="F52" s="5" t="s">
        <v>1941</v>
      </c>
      <c r="G52" s="5" t="s">
        <v>1942</v>
      </c>
      <c r="H52" s="5" t="s">
        <v>1943</v>
      </c>
      <c r="I52" s="5" t="s">
        <v>89</v>
      </c>
      <c r="J52" s="5" t="s">
        <v>218</v>
      </c>
      <c r="K52" s="5" t="s">
        <v>2175</v>
      </c>
      <c r="L52" s="5" t="s">
        <v>32</v>
      </c>
      <c r="M52" s="5" t="s">
        <v>197</v>
      </c>
      <c r="N52" s="5" t="s">
        <v>28</v>
      </c>
      <c r="O52" s="5" t="s">
        <v>2176</v>
      </c>
      <c r="P52" s="5"/>
    </row>
    <row r="53" customFormat="false" ht="27.75" hidden="false" customHeight="true" outlineLevel="0" collapsed="false">
      <c r="A53" s="5" t="s">
        <v>2177</v>
      </c>
      <c r="B53" s="5" t="s">
        <v>164</v>
      </c>
      <c r="C53" s="5" t="s">
        <v>101</v>
      </c>
      <c r="D53" s="5" t="s">
        <v>2178</v>
      </c>
      <c r="E53" s="5" t="s">
        <v>2179</v>
      </c>
      <c r="F53" s="5" t="s">
        <v>2180</v>
      </c>
      <c r="G53" s="5" t="s">
        <v>2181</v>
      </c>
      <c r="H53" s="5" t="s">
        <v>2182</v>
      </c>
      <c r="I53" s="5" t="s">
        <v>90</v>
      </c>
      <c r="J53" s="5" t="s">
        <v>195</v>
      </c>
      <c r="K53" s="5"/>
      <c r="L53" s="5" t="s">
        <v>95</v>
      </c>
      <c r="M53" s="5"/>
      <c r="N53" s="5"/>
      <c r="O53" s="5"/>
      <c r="P53" s="5"/>
    </row>
    <row r="54" customFormat="false" ht="27.75" hidden="false" customHeight="true" outlineLevel="0" collapsed="false">
      <c r="A54" s="5" t="s">
        <v>2183</v>
      </c>
      <c r="B54" s="5" t="s">
        <v>164</v>
      </c>
      <c r="C54" s="5" t="s">
        <v>101</v>
      </c>
      <c r="D54" s="5" t="s">
        <v>2184</v>
      </c>
      <c r="E54" s="5" t="s">
        <v>2185</v>
      </c>
      <c r="F54" s="5" t="s">
        <v>296</v>
      </c>
      <c r="G54" s="5" t="s">
        <v>2186</v>
      </c>
      <c r="H54" s="5" t="s">
        <v>2187</v>
      </c>
      <c r="I54" s="5" t="s">
        <v>90</v>
      </c>
      <c r="J54" s="5" t="s">
        <v>185</v>
      </c>
      <c r="K54" s="5"/>
      <c r="L54" s="5" t="s">
        <v>95</v>
      </c>
      <c r="M54" s="5"/>
      <c r="N54" s="5"/>
      <c r="O54" s="5"/>
      <c r="P54" s="5"/>
    </row>
    <row r="55" customFormat="false" ht="15" hidden="false" customHeight="true" outlineLevel="0" collapsed="false">
      <c r="A55" s="5" t="s">
        <v>2188</v>
      </c>
      <c r="B55" s="5" t="s">
        <v>164</v>
      </c>
      <c r="C55" s="5" t="s">
        <v>101</v>
      </c>
      <c r="D55" s="5" t="s">
        <v>2189</v>
      </c>
      <c r="E55" s="5" t="s">
        <v>2190</v>
      </c>
      <c r="F55" s="5" t="s">
        <v>296</v>
      </c>
      <c r="G55" s="5" t="s">
        <v>2144</v>
      </c>
      <c r="H55" s="5" t="s">
        <v>2191</v>
      </c>
      <c r="I55" s="5" t="s">
        <v>90</v>
      </c>
      <c r="J55" s="5" t="s">
        <v>195</v>
      </c>
      <c r="K55" s="5"/>
      <c r="L55" s="5" t="s">
        <v>95</v>
      </c>
      <c r="M55" s="5"/>
      <c r="N55" s="5"/>
      <c r="O55" s="5"/>
      <c r="P55" s="5"/>
    </row>
    <row r="56" customFormat="false" ht="27.75" hidden="false" customHeight="true" outlineLevel="0" collapsed="false">
      <c r="A56" s="5" t="s">
        <v>2192</v>
      </c>
      <c r="B56" s="5" t="s">
        <v>165</v>
      </c>
      <c r="C56" s="5" t="s">
        <v>101</v>
      </c>
      <c r="D56" s="5" t="s">
        <v>2193</v>
      </c>
      <c r="E56" s="5" t="s">
        <v>2194</v>
      </c>
      <c r="F56" s="5" t="s">
        <v>2195</v>
      </c>
      <c r="G56" s="5" t="s">
        <v>2196</v>
      </c>
      <c r="H56" s="5" t="s">
        <v>2197</v>
      </c>
      <c r="I56" s="5" t="s">
        <v>90</v>
      </c>
      <c r="J56" s="5" t="s">
        <v>195</v>
      </c>
      <c r="K56" s="5"/>
      <c r="L56" s="5" t="s">
        <v>95</v>
      </c>
      <c r="M56" s="5"/>
      <c r="N56" s="5"/>
      <c r="O56" s="5"/>
      <c r="P56" s="5"/>
    </row>
    <row r="57" customFormat="false" ht="41.25" hidden="false" customHeight="true" outlineLevel="0" collapsed="false">
      <c r="A57" s="5" t="s">
        <v>2198</v>
      </c>
      <c r="B57" s="5" t="s">
        <v>165</v>
      </c>
      <c r="C57" s="5" t="s">
        <v>101</v>
      </c>
      <c r="D57" s="5" t="s">
        <v>2199</v>
      </c>
      <c r="E57" s="5" t="s">
        <v>2200</v>
      </c>
      <c r="F57" s="5" t="s">
        <v>296</v>
      </c>
      <c r="G57" s="5" t="s">
        <v>2201</v>
      </c>
      <c r="H57" s="5" t="s">
        <v>2202</v>
      </c>
      <c r="I57" s="5" t="s">
        <v>89</v>
      </c>
      <c r="J57" s="5" t="s">
        <v>195</v>
      </c>
      <c r="K57" s="5" t="s">
        <v>2203</v>
      </c>
      <c r="L57" s="5" t="s">
        <v>32</v>
      </c>
      <c r="M57" s="5" t="s">
        <v>197</v>
      </c>
      <c r="N57" s="5" t="s">
        <v>28</v>
      </c>
      <c r="O57" s="5"/>
      <c r="P57" s="5"/>
    </row>
    <row r="58" customFormat="false" ht="27.75" hidden="false" customHeight="true" outlineLevel="0" collapsed="false">
      <c r="A58" s="5" t="s">
        <v>2204</v>
      </c>
      <c r="B58" s="5" t="s">
        <v>165</v>
      </c>
      <c r="C58" s="5" t="s">
        <v>101</v>
      </c>
      <c r="D58" s="5" t="s">
        <v>2205</v>
      </c>
      <c r="E58" s="5" t="s">
        <v>2206</v>
      </c>
      <c r="F58" s="5" t="s">
        <v>296</v>
      </c>
      <c r="G58" s="5" t="s">
        <v>2207</v>
      </c>
      <c r="H58" s="5" t="s">
        <v>2208</v>
      </c>
      <c r="I58" s="5" t="s">
        <v>89</v>
      </c>
      <c r="J58" s="5" t="s">
        <v>185</v>
      </c>
      <c r="K58" s="5" t="s">
        <v>2209</v>
      </c>
      <c r="L58" s="5" t="s">
        <v>32</v>
      </c>
      <c r="M58" s="5" t="s">
        <v>197</v>
      </c>
      <c r="N58" s="5" t="s">
        <v>28</v>
      </c>
      <c r="O58" s="5"/>
      <c r="P58" s="5"/>
    </row>
    <row r="59" customFormat="false" ht="41.25" hidden="false" customHeight="true" outlineLevel="0" collapsed="false">
      <c r="A59" s="5" t="s">
        <v>2210</v>
      </c>
      <c r="B59" s="5" t="s">
        <v>165</v>
      </c>
      <c r="C59" s="5" t="s">
        <v>101</v>
      </c>
      <c r="D59" s="5" t="s">
        <v>2211</v>
      </c>
      <c r="E59" s="5" t="s">
        <v>2212</v>
      </c>
      <c r="F59" s="5" t="s">
        <v>2213</v>
      </c>
      <c r="G59" s="5" t="s">
        <v>2214</v>
      </c>
      <c r="H59" s="5" t="s">
        <v>2215</v>
      </c>
      <c r="I59" s="5" t="s">
        <v>90</v>
      </c>
      <c r="J59" s="5" t="s">
        <v>195</v>
      </c>
      <c r="K59" s="5"/>
      <c r="L59" s="5" t="s">
        <v>95</v>
      </c>
      <c r="M59" s="5"/>
      <c r="N59" s="5"/>
      <c r="O59" s="5"/>
      <c r="P59" s="5"/>
    </row>
    <row r="60" customFormat="false" ht="15" hidden="false" customHeight="true" outlineLevel="0" collapsed="false">
      <c r="A60" s="5" t="s">
        <v>2216</v>
      </c>
      <c r="B60" s="5" t="s">
        <v>165</v>
      </c>
      <c r="C60" s="5" t="s">
        <v>101</v>
      </c>
      <c r="D60" s="5" t="s">
        <v>2217</v>
      </c>
      <c r="E60" s="5" t="s">
        <v>2218</v>
      </c>
      <c r="F60" s="5" t="s">
        <v>296</v>
      </c>
      <c r="G60" s="5" t="s">
        <v>2219</v>
      </c>
      <c r="H60" s="5" t="s">
        <v>2220</v>
      </c>
      <c r="I60" s="5" t="s">
        <v>90</v>
      </c>
      <c r="J60" s="5" t="s">
        <v>195</v>
      </c>
      <c r="K60" s="5"/>
      <c r="L60" s="5" t="s">
        <v>95</v>
      </c>
      <c r="M60" s="5"/>
      <c r="N60" s="5"/>
      <c r="O60" s="5"/>
      <c r="P60" s="5"/>
    </row>
    <row r="61" customFormat="false" ht="41.25" hidden="false" customHeight="true" outlineLevel="0" collapsed="false">
      <c r="A61" s="5" t="s">
        <v>2221</v>
      </c>
      <c r="B61" s="5" t="s">
        <v>165</v>
      </c>
      <c r="C61" s="5" t="s">
        <v>101</v>
      </c>
      <c r="D61" s="5" t="s">
        <v>2222</v>
      </c>
      <c r="E61" s="5" t="s">
        <v>2223</v>
      </c>
      <c r="F61" s="5" t="s">
        <v>2224</v>
      </c>
      <c r="G61" s="5" t="s">
        <v>2225</v>
      </c>
      <c r="H61" s="5" t="s">
        <v>2226</v>
      </c>
      <c r="I61" s="5" t="s">
        <v>90</v>
      </c>
      <c r="J61" s="5" t="s">
        <v>195</v>
      </c>
      <c r="K61" s="5"/>
      <c r="L61" s="5" t="s">
        <v>95</v>
      </c>
      <c r="M61" s="5"/>
      <c r="N61" s="5"/>
      <c r="O61" s="5"/>
      <c r="P61" s="5"/>
    </row>
    <row r="62" customFormat="false" ht="27.75" hidden="false" customHeight="true" outlineLevel="0" collapsed="false">
      <c r="A62" s="5" t="s">
        <v>2227</v>
      </c>
      <c r="B62" s="5" t="s">
        <v>165</v>
      </c>
      <c r="C62" s="5" t="s">
        <v>101</v>
      </c>
      <c r="D62" s="5" t="s">
        <v>2228</v>
      </c>
      <c r="E62" s="5" t="s">
        <v>2229</v>
      </c>
      <c r="F62" s="5" t="s">
        <v>296</v>
      </c>
      <c r="G62" s="5" t="s">
        <v>2230</v>
      </c>
      <c r="H62" s="5" t="s">
        <v>2231</v>
      </c>
      <c r="I62" s="5" t="s">
        <v>90</v>
      </c>
      <c r="J62" s="5" t="s">
        <v>195</v>
      </c>
      <c r="K62" s="5"/>
      <c r="L62" s="5" t="s">
        <v>95</v>
      </c>
      <c r="M62" s="5"/>
      <c r="N62" s="5"/>
      <c r="O62" s="5"/>
      <c r="P62" s="5"/>
    </row>
    <row r="63" customFormat="false" ht="27.75" hidden="false" customHeight="true" outlineLevel="0" collapsed="false">
      <c r="A63" s="5" t="s">
        <v>2232</v>
      </c>
      <c r="B63" s="5" t="s">
        <v>165</v>
      </c>
      <c r="C63" s="5" t="s">
        <v>101</v>
      </c>
      <c r="D63" s="5" t="s">
        <v>2233</v>
      </c>
      <c r="E63" s="5" t="s">
        <v>2234</v>
      </c>
      <c r="F63" s="5" t="s">
        <v>296</v>
      </c>
      <c r="G63" s="5" t="s">
        <v>2235</v>
      </c>
      <c r="H63" s="5" t="s">
        <v>2236</v>
      </c>
      <c r="I63" s="5" t="s">
        <v>90</v>
      </c>
      <c r="J63" s="5" t="s">
        <v>195</v>
      </c>
      <c r="K63" s="5"/>
      <c r="L63" s="5" t="s">
        <v>95</v>
      </c>
      <c r="M63" s="5"/>
      <c r="N63" s="5"/>
      <c r="O63" s="5"/>
      <c r="P63" s="5"/>
    </row>
    <row r="64" customFormat="false" ht="27.75" hidden="false" customHeight="true" outlineLevel="0" collapsed="false">
      <c r="A64" s="5" t="s">
        <v>2237</v>
      </c>
      <c r="B64" s="5" t="s">
        <v>165</v>
      </c>
      <c r="C64" s="5" t="s">
        <v>101</v>
      </c>
      <c r="D64" s="5" t="s">
        <v>2238</v>
      </c>
      <c r="E64" s="5" t="s">
        <v>1907</v>
      </c>
      <c r="F64" s="5" t="s">
        <v>2239</v>
      </c>
      <c r="G64" s="5" t="s">
        <v>2240</v>
      </c>
      <c r="H64" s="5" t="s">
        <v>2241</v>
      </c>
      <c r="I64" s="5" t="s">
        <v>90</v>
      </c>
      <c r="J64" s="5" t="s">
        <v>195</v>
      </c>
      <c r="K64" s="5"/>
      <c r="L64" s="5" t="s">
        <v>95</v>
      </c>
      <c r="M64" s="5"/>
      <c r="N64" s="5"/>
      <c r="O64" s="5"/>
      <c r="P64" s="5"/>
    </row>
    <row r="65" customFormat="false" ht="15" hidden="false" customHeight="true" outlineLevel="0" collapsed="false">
      <c r="A65" s="5" t="s">
        <v>2242</v>
      </c>
      <c r="B65" s="5" t="s">
        <v>165</v>
      </c>
      <c r="C65" s="5" t="s">
        <v>101</v>
      </c>
      <c r="D65" s="5" t="s">
        <v>2243</v>
      </c>
      <c r="E65" s="5" t="s">
        <v>2244</v>
      </c>
      <c r="F65" s="5" t="s">
        <v>296</v>
      </c>
      <c r="G65" s="5" t="s">
        <v>2144</v>
      </c>
      <c r="H65" s="5" t="s">
        <v>2245</v>
      </c>
      <c r="I65" s="5" t="s">
        <v>90</v>
      </c>
      <c r="J65" s="5" t="s">
        <v>195</v>
      </c>
      <c r="K65" s="5"/>
      <c r="L65" s="5" t="s">
        <v>95</v>
      </c>
      <c r="M65" s="5"/>
      <c r="N65" s="5"/>
      <c r="O65" s="5"/>
      <c r="P65" s="5"/>
    </row>
    <row r="66" customFormat="false" ht="41.25" hidden="false" customHeight="true" outlineLevel="0" collapsed="false">
      <c r="A66" s="5" t="s">
        <v>2246</v>
      </c>
      <c r="B66" s="5" t="s">
        <v>166</v>
      </c>
      <c r="C66" s="5" t="s">
        <v>101</v>
      </c>
      <c r="D66" s="5" t="s">
        <v>2247</v>
      </c>
      <c r="E66" s="5" t="s">
        <v>2248</v>
      </c>
      <c r="F66" s="5" t="s">
        <v>296</v>
      </c>
      <c r="G66" s="5" t="s">
        <v>2249</v>
      </c>
      <c r="H66" s="5" t="s">
        <v>2250</v>
      </c>
      <c r="I66" s="5" t="s">
        <v>89</v>
      </c>
      <c r="J66" s="5" t="s">
        <v>195</v>
      </c>
      <c r="K66" s="5" t="s">
        <v>2251</v>
      </c>
      <c r="L66" s="5" t="s">
        <v>32</v>
      </c>
      <c r="M66" s="5" t="s">
        <v>197</v>
      </c>
      <c r="N66" s="5" t="s">
        <v>28</v>
      </c>
      <c r="O66" s="5"/>
      <c r="P66" s="5"/>
    </row>
    <row r="67" customFormat="false" ht="27.75" hidden="false" customHeight="true" outlineLevel="0" collapsed="false">
      <c r="A67" s="5" t="s">
        <v>2252</v>
      </c>
      <c r="B67" s="5" t="s">
        <v>166</v>
      </c>
      <c r="C67" s="5" t="s">
        <v>101</v>
      </c>
      <c r="D67" s="5" t="s">
        <v>2253</v>
      </c>
      <c r="E67" s="5" t="s">
        <v>2254</v>
      </c>
      <c r="F67" s="5" t="s">
        <v>2255</v>
      </c>
      <c r="G67" s="5" t="s">
        <v>2256</v>
      </c>
      <c r="H67" s="5" t="s">
        <v>2257</v>
      </c>
      <c r="I67" s="5" t="s">
        <v>89</v>
      </c>
      <c r="J67" s="5" t="s">
        <v>195</v>
      </c>
      <c r="K67" s="5" t="s">
        <v>2258</v>
      </c>
      <c r="L67" s="5" t="s">
        <v>32</v>
      </c>
      <c r="M67" s="5" t="s">
        <v>197</v>
      </c>
      <c r="N67" s="5" t="s">
        <v>28</v>
      </c>
      <c r="O67" s="5"/>
      <c r="P67" s="5"/>
    </row>
    <row r="68" customFormat="false" ht="41.25" hidden="false" customHeight="true" outlineLevel="0" collapsed="false">
      <c r="A68" s="5" t="s">
        <v>2259</v>
      </c>
      <c r="B68" s="5" t="s">
        <v>166</v>
      </c>
      <c r="C68" s="5" t="s">
        <v>101</v>
      </c>
      <c r="D68" s="5" t="s">
        <v>2260</v>
      </c>
      <c r="E68" s="5" t="s">
        <v>2261</v>
      </c>
      <c r="F68" s="5" t="s">
        <v>296</v>
      </c>
      <c r="G68" s="5" t="s">
        <v>2262</v>
      </c>
      <c r="H68" s="5" t="s">
        <v>2263</v>
      </c>
      <c r="I68" s="5" t="s">
        <v>90</v>
      </c>
      <c r="J68" s="5" t="s">
        <v>195</v>
      </c>
      <c r="K68" s="5"/>
      <c r="L68" s="5" t="s">
        <v>95</v>
      </c>
      <c r="M68" s="5"/>
      <c r="N68" s="5"/>
      <c r="O68" s="5"/>
      <c r="P68" s="5"/>
    </row>
    <row r="69" customFormat="false" ht="15" hidden="false" customHeight="true" outlineLevel="0" collapsed="false">
      <c r="A69" s="5" t="s">
        <v>2264</v>
      </c>
      <c r="B69" s="5" t="s">
        <v>166</v>
      </c>
      <c r="C69" s="5" t="s">
        <v>101</v>
      </c>
      <c r="D69" s="5" t="s">
        <v>2265</v>
      </c>
      <c r="E69" s="5" t="s">
        <v>2266</v>
      </c>
      <c r="F69" s="5" t="s">
        <v>296</v>
      </c>
      <c r="G69" s="5" t="s">
        <v>2267</v>
      </c>
      <c r="H69" s="5" t="s">
        <v>2268</v>
      </c>
      <c r="I69" s="5" t="s">
        <v>90</v>
      </c>
      <c r="J69" s="5" t="s">
        <v>195</v>
      </c>
      <c r="K69" s="5"/>
      <c r="L69" s="5" t="s">
        <v>95</v>
      </c>
      <c r="M69" s="5"/>
      <c r="N69" s="5"/>
      <c r="O69" s="5"/>
      <c r="P69" s="5"/>
    </row>
    <row r="70" customFormat="false" ht="27.75" hidden="false" customHeight="true" outlineLevel="0" collapsed="false">
      <c r="A70" s="5" t="s">
        <v>2269</v>
      </c>
      <c r="B70" s="5" t="s">
        <v>166</v>
      </c>
      <c r="C70" s="5" t="s">
        <v>101</v>
      </c>
      <c r="D70" s="5" t="s">
        <v>2270</v>
      </c>
      <c r="E70" s="5" t="s">
        <v>2271</v>
      </c>
      <c r="F70" s="5" t="s">
        <v>296</v>
      </c>
      <c r="G70" s="5" t="s">
        <v>2272</v>
      </c>
      <c r="H70" s="5" t="s">
        <v>2273</v>
      </c>
      <c r="I70" s="5" t="s">
        <v>90</v>
      </c>
      <c r="J70" s="5" t="s">
        <v>185</v>
      </c>
      <c r="K70" s="5"/>
      <c r="L70" s="5" t="s">
        <v>95</v>
      </c>
      <c r="M70" s="5"/>
      <c r="N70" s="5"/>
      <c r="O70" s="5"/>
      <c r="P70" s="5"/>
    </row>
    <row r="71" customFormat="false" ht="54.75" hidden="false" customHeight="true" outlineLevel="0" collapsed="false">
      <c r="A71" s="5" t="s">
        <v>2274</v>
      </c>
      <c r="B71" s="5" t="s">
        <v>166</v>
      </c>
      <c r="C71" s="5" t="s">
        <v>101</v>
      </c>
      <c r="D71" s="5" t="s">
        <v>2275</v>
      </c>
      <c r="E71" s="5" t="s">
        <v>1907</v>
      </c>
      <c r="F71" s="5" t="s">
        <v>2276</v>
      </c>
      <c r="G71" s="5" t="s">
        <v>2277</v>
      </c>
      <c r="H71" s="5" t="s">
        <v>2278</v>
      </c>
      <c r="I71" s="5" t="s">
        <v>89</v>
      </c>
      <c r="J71" s="5" t="s">
        <v>195</v>
      </c>
      <c r="K71" s="5" t="s">
        <v>2279</v>
      </c>
      <c r="L71" s="5" t="s">
        <v>32</v>
      </c>
      <c r="M71" s="5" t="s">
        <v>197</v>
      </c>
      <c r="N71" s="5" t="s">
        <v>28</v>
      </c>
      <c r="O71" s="5"/>
      <c r="P71" s="5"/>
    </row>
    <row r="72" customFormat="false" ht="54.75" hidden="false" customHeight="true" outlineLevel="0" collapsed="false">
      <c r="A72" s="5" t="s">
        <v>2280</v>
      </c>
      <c r="B72" s="5" t="s">
        <v>166</v>
      </c>
      <c r="C72" s="5" t="s">
        <v>101</v>
      </c>
      <c r="D72" s="5" t="s">
        <v>2281</v>
      </c>
      <c r="E72" s="5" t="s">
        <v>1918</v>
      </c>
      <c r="F72" s="5" t="s">
        <v>296</v>
      </c>
      <c r="G72" s="5" t="s">
        <v>2282</v>
      </c>
      <c r="H72" s="5" t="s">
        <v>2283</v>
      </c>
      <c r="I72" s="5" t="s">
        <v>88</v>
      </c>
      <c r="J72" s="5" t="s">
        <v>210</v>
      </c>
      <c r="K72" s="5" t="s">
        <v>2284</v>
      </c>
      <c r="L72" s="5" t="s">
        <v>32</v>
      </c>
      <c r="M72" s="5" t="s">
        <v>197</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27.75" hidden="false" customHeight="true" outlineLevel="0" collapsed="false">
      <c r="A2" s="5" t="s">
        <v>2285</v>
      </c>
      <c r="B2" s="5" t="s">
        <v>167</v>
      </c>
      <c r="C2" s="5" t="s">
        <v>102</v>
      </c>
      <c r="D2" s="5" t="s">
        <v>2286</v>
      </c>
      <c r="E2" s="5" t="s">
        <v>1113</v>
      </c>
      <c r="F2" s="5" t="s">
        <v>296</v>
      </c>
      <c r="G2" s="5" t="s">
        <v>2287</v>
      </c>
      <c r="H2" s="5" t="s">
        <v>2288</v>
      </c>
      <c r="I2" s="5" t="s">
        <v>89</v>
      </c>
      <c r="J2" s="5" t="s">
        <v>195</v>
      </c>
      <c r="K2" s="5" t="s">
        <v>2289</v>
      </c>
      <c r="L2" s="5" t="s">
        <v>32</v>
      </c>
      <c r="M2" s="5" t="s">
        <v>197</v>
      </c>
      <c r="N2" s="5" t="s">
        <v>28</v>
      </c>
      <c r="O2" s="5"/>
      <c r="P2" s="5"/>
    </row>
    <row r="3" customFormat="false" ht="27.75" hidden="false" customHeight="true" outlineLevel="0" collapsed="false">
      <c r="A3" s="5" t="s">
        <v>2290</v>
      </c>
      <c r="B3" s="5" t="s">
        <v>167</v>
      </c>
      <c r="C3" s="5" t="s">
        <v>102</v>
      </c>
      <c r="D3" s="5" t="s">
        <v>2291</v>
      </c>
      <c r="E3" s="5" t="s">
        <v>2292</v>
      </c>
      <c r="F3" s="5" t="s">
        <v>2293</v>
      </c>
      <c r="G3" s="5" t="s">
        <v>2294</v>
      </c>
      <c r="H3" s="5" t="s">
        <v>2295</v>
      </c>
      <c r="I3" s="5" t="s">
        <v>89</v>
      </c>
      <c r="J3" s="5" t="s">
        <v>195</v>
      </c>
      <c r="K3" s="5" t="s">
        <v>2296</v>
      </c>
      <c r="L3" s="5" t="s">
        <v>32</v>
      </c>
      <c r="M3" s="5" t="s">
        <v>197</v>
      </c>
      <c r="N3" s="5" t="s">
        <v>28</v>
      </c>
      <c r="O3" s="5"/>
      <c r="P3" s="5"/>
    </row>
    <row r="4" customFormat="false" ht="15" hidden="false" customHeight="true" outlineLevel="0" collapsed="false">
      <c r="A4" s="5" t="s">
        <v>2297</v>
      </c>
      <c r="B4" s="5" t="s">
        <v>167</v>
      </c>
      <c r="C4" s="5" t="s">
        <v>102</v>
      </c>
      <c r="D4" s="5" t="s">
        <v>2298</v>
      </c>
      <c r="E4" s="5" t="s">
        <v>1113</v>
      </c>
      <c r="F4" s="5" t="s">
        <v>296</v>
      </c>
      <c r="G4" s="5" t="s">
        <v>2299</v>
      </c>
      <c r="H4" s="5" t="s">
        <v>2300</v>
      </c>
      <c r="I4" s="5" t="s">
        <v>90</v>
      </c>
      <c r="J4" s="5" t="s">
        <v>210</v>
      </c>
      <c r="K4" s="5"/>
      <c r="L4" s="5" t="s">
        <v>95</v>
      </c>
      <c r="M4" s="5"/>
      <c r="N4" s="5"/>
      <c r="O4" s="5"/>
      <c r="P4" s="5"/>
    </row>
    <row r="5" customFormat="false" ht="27.75" hidden="false" customHeight="true" outlineLevel="0" collapsed="false">
      <c r="A5" s="5" t="s">
        <v>2301</v>
      </c>
      <c r="B5" s="5" t="s">
        <v>167</v>
      </c>
      <c r="C5" s="5" t="s">
        <v>102</v>
      </c>
      <c r="D5" s="5" t="s">
        <v>2302</v>
      </c>
      <c r="E5" s="5" t="s">
        <v>2303</v>
      </c>
      <c r="F5" s="5" t="s">
        <v>2304</v>
      </c>
      <c r="G5" s="5" t="s">
        <v>2305</v>
      </c>
      <c r="H5" s="5" t="s">
        <v>2306</v>
      </c>
      <c r="I5" s="5" t="s">
        <v>89</v>
      </c>
      <c r="J5" s="5" t="s">
        <v>195</v>
      </c>
      <c r="K5" s="5" t="s">
        <v>2307</v>
      </c>
      <c r="L5" s="5" t="s">
        <v>32</v>
      </c>
      <c r="M5" s="5" t="s">
        <v>197</v>
      </c>
      <c r="N5" s="5" t="s">
        <v>28</v>
      </c>
      <c r="O5" s="5" t="s">
        <v>2308</v>
      </c>
      <c r="P5" s="5"/>
    </row>
    <row r="6" customFormat="false" ht="27.75" hidden="false" customHeight="true" outlineLevel="0" collapsed="false">
      <c r="A6" s="5" t="s">
        <v>2309</v>
      </c>
      <c r="B6" s="5" t="s">
        <v>167</v>
      </c>
      <c r="C6" s="5" t="s">
        <v>102</v>
      </c>
      <c r="D6" s="5" t="s">
        <v>2310</v>
      </c>
      <c r="E6" s="5" t="s">
        <v>400</v>
      </c>
      <c r="F6" s="5" t="s">
        <v>2311</v>
      </c>
      <c r="G6" s="5" t="s">
        <v>2312</v>
      </c>
      <c r="H6" s="5" t="s">
        <v>2313</v>
      </c>
      <c r="I6" s="5" t="s">
        <v>90</v>
      </c>
      <c r="J6" s="5" t="s">
        <v>195</v>
      </c>
      <c r="K6" s="5"/>
      <c r="L6" s="5" t="s">
        <v>95</v>
      </c>
      <c r="M6" s="5"/>
      <c r="N6" s="5"/>
      <c r="O6" s="5"/>
      <c r="P6" s="5"/>
    </row>
    <row r="7" customFormat="false" ht="27.75" hidden="false" customHeight="true" outlineLevel="0" collapsed="false">
      <c r="A7" s="5" t="s">
        <v>2314</v>
      </c>
      <c r="B7" s="5" t="s">
        <v>167</v>
      </c>
      <c r="C7" s="5" t="s">
        <v>102</v>
      </c>
      <c r="D7" s="5" t="s">
        <v>2315</v>
      </c>
      <c r="E7" s="5" t="s">
        <v>2316</v>
      </c>
      <c r="F7" s="5" t="s">
        <v>296</v>
      </c>
      <c r="G7" s="5" t="s">
        <v>2317</v>
      </c>
      <c r="H7" s="5" t="s">
        <v>2318</v>
      </c>
      <c r="I7" s="5" t="s">
        <v>89</v>
      </c>
      <c r="J7" s="5" t="s">
        <v>195</v>
      </c>
      <c r="K7" s="5" t="s">
        <v>2319</v>
      </c>
      <c r="L7" s="5" t="s">
        <v>32</v>
      </c>
      <c r="M7" s="5" t="s">
        <v>197</v>
      </c>
      <c r="N7" s="5" t="s">
        <v>28</v>
      </c>
      <c r="O7" s="5"/>
      <c r="P7" s="5"/>
    </row>
    <row r="8" customFormat="false" ht="15" hidden="false" customHeight="true" outlineLevel="0" collapsed="false">
      <c r="A8" s="5" t="s">
        <v>2320</v>
      </c>
      <c r="B8" s="5" t="s">
        <v>167</v>
      </c>
      <c r="C8" s="5" t="s">
        <v>102</v>
      </c>
      <c r="D8" s="5" t="s">
        <v>2321</v>
      </c>
      <c r="E8" s="5" t="s">
        <v>2322</v>
      </c>
      <c r="F8" s="5" t="s">
        <v>296</v>
      </c>
      <c r="G8" s="5" t="s">
        <v>2323</v>
      </c>
      <c r="H8" s="5" t="s">
        <v>2324</v>
      </c>
      <c r="I8" s="5" t="s">
        <v>90</v>
      </c>
      <c r="J8" s="5" t="s">
        <v>218</v>
      </c>
      <c r="K8" s="5"/>
      <c r="L8" s="5" t="s">
        <v>95</v>
      </c>
      <c r="M8" s="5"/>
      <c r="N8" s="5"/>
      <c r="O8" s="5"/>
      <c r="P8" s="5"/>
    </row>
    <row r="9" customFormat="false" ht="27.75" hidden="false" customHeight="true" outlineLevel="0" collapsed="false">
      <c r="A9" s="5" t="s">
        <v>2325</v>
      </c>
      <c r="B9" s="5" t="s">
        <v>167</v>
      </c>
      <c r="C9" s="5" t="s">
        <v>102</v>
      </c>
      <c r="D9" s="5" t="s">
        <v>2326</v>
      </c>
      <c r="E9" s="5" t="s">
        <v>400</v>
      </c>
      <c r="F9" s="5" t="s">
        <v>2327</v>
      </c>
      <c r="G9" s="5" t="s">
        <v>2328</v>
      </c>
      <c r="H9" s="5" t="s">
        <v>2329</v>
      </c>
      <c r="I9" s="5" t="s">
        <v>90</v>
      </c>
      <c r="J9" s="5" t="s">
        <v>195</v>
      </c>
      <c r="K9" s="5"/>
      <c r="L9" s="5" t="s">
        <v>95</v>
      </c>
      <c r="M9" s="5"/>
      <c r="N9" s="5"/>
      <c r="O9" s="5"/>
      <c r="P9" s="5"/>
    </row>
    <row r="10" customFormat="false" ht="41.25" hidden="false" customHeight="true" outlineLevel="0" collapsed="false">
      <c r="A10" s="5" t="s">
        <v>2330</v>
      </c>
      <c r="B10" s="5" t="s">
        <v>167</v>
      </c>
      <c r="C10" s="5" t="s">
        <v>102</v>
      </c>
      <c r="D10" s="5" t="s">
        <v>2331</v>
      </c>
      <c r="E10" s="5" t="s">
        <v>750</v>
      </c>
      <c r="F10" s="5" t="s">
        <v>2332</v>
      </c>
      <c r="G10" s="5" t="s">
        <v>2333</v>
      </c>
      <c r="H10" s="5" t="s">
        <v>2334</v>
      </c>
      <c r="I10" s="5" t="s">
        <v>90</v>
      </c>
      <c r="J10" s="5" t="s">
        <v>195</v>
      </c>
      <c r="K10" s="5"/>
      <c r="L10" s="5" t="s">
        <v>95</v>
      </c>
      <c r="M10" s="5"/>
      <c r="N10" s="5"/>
      <c r="O10" s="5"/>
      <c r="P10" s="5"/>
    </row>
    <row r="11" customFormat="false" ht="15" hidden="false" customHeight="true" outlineLevel="0" collapsed="false">
      <c r="A11" s="5" t="s">
        <v>2335</v>
      </c>
      <c r="B11" s="5" t="s">
        <v>167</v>
      </c>
      <c r="C11" s="5" t="s">
        <v>102</v>
      </c>
      <c r="D11" s="5" t="s">
        <v>1012</v>
      </c>
      <c r="E11" s="5" t="s">
        <v>400</v>
      </c>
      <c r="F11" s="5" t="s">
        <v>1013</v>
      </c>
      <c r="G11" s="5" t="s">
        <v>2336</v>
      </c>
      <c r="H11" s="5" t="s">
        <v>2337</v>
      </c>
      <c r="I11" s="5" t="s">
        <v>90</v>
      </c>
      <c r="J11" s="5" t="s">
        <v>242</v>
      </c>
      <c r="K11" s="5"/>
      <c r="L11" s="5" t="s">
        <v>95</v>
      </c>
      <c r="M11" s="5"/>
      <c r="N11" s="5"/>
      <c r="O11" s="5"/>
      <c r="P11" s="5"/>
    </row>
    <row r="12" customFormat="false" ht="27.75" hidden="false" customHeight="true" outlineLevel="0" collapsed="false">
      <c r="A12" s="5" t="s">
        <v>2338</v>
      </c>
      <c r="B12" s="5" t="s">
        <v>167</v>
      </c>
      <c r="C12" s="5" t="s">
        <v>102</v>
      </c>
      <c r="D12" s="5" t="s">
        <v>1035</v>
      </c>
      <c r="E12" s="5" t="s">
        <v>400</v>
      </c>
      <c r="F12" s="5" t="s">
        <v>1319</v>
      </c>
      <c r="G12" s="5" t="s">
        <v>2339</v>
      </c>
      <c r="H12" s="5" t="s">
        <v>2340</v>
      </c>
      <c r="I12" s="5" t="s">
        <v>89</v>
      </c>
      <c r="J12" s="5" t="s">
        <v>271</v>
      </c>
      <c r="K12" s="5" t="s">
        <v>2341</v>
      </c>
      <c r="L12" s="5" t="s">
        <v>32</v>
      </c>
      <c r="M12" s="5" t="s">
        <v>197</v>
      </c>
      <c r="N12" s="5" t="s">
        <v>28</v>
      </c>
      <c r="O12" s="5"/>
      <c r="P12" s="5"/>
    </row>
    <row r="13" customFormat="false" ht="27.75" hidden="false" customHeight="true" outlineLevel="0" collapsed="false">
      <c r="A13" s="5" t="s">
        <v>2342</v>
      </c>
      <c r="B13" s="5" t="s">
        <v>167</v>
      </c>
      <c r="C13" s="5" t="s">
        <v>102</v>
      </c>
      <c r="D13" s="5" t="s">
        <v>2343</v>
      </c>
      <c r="E13" s="5" t="s">
        <v>400</v>
      </c>
      <c r="F13" s="5" t="s">
        <v>2344</v>
      </c>
      <c r="G13" s="5" t="s">
        <v>2345</v>
      </c>
      <c r="H13" s="5" t="s">
        <v>2346</v>
      </c>
      <c r="I13" s="5" t="s">
        <v>90</v>
      </c>
      <c r="J13" s="5" t="s">
        <v>271</v>
      </c>
      <c r="K13" s="5"/>
      <c r="L13" s="5" t="s">
        <v>95</v>
      </c>
      <c r="M13" s="5"/>
      <c r="N13" s="5"/>
      <c r="O13" s="5"/>
      <c r="P13" s="5"/>
    </row>
    <row r="14" customFormat="false" ht="27.75" hidden="false" customHeight="true" outlineLevel="0" collapsed="false">
      <c r="A14" s="5" t="s">
        <v>2347</v>
      </c>
      <c r="B14" s="5" t="s">
        <v>167</v>
      </c>
      <c r="C14" s="5" t="s">
        <v>102</v>
      </c>
      <c r="D14" s="5" t="s">
        <v>2348</v>
      </c>
      <c r="E14" s="5" t="s">
        <v>2349</v>
      </c>
      <c r="F14" s="5" t="s">
        <v>296</v>
      </c>
      <c r="G14" s="5" t="s">
        <v>2350</v>
      </c>
      <c r="H14" s="5" t="s">
        <v>2351</v>
      </c>
      <c r="I14" s="5" t="s">
        <v>90</v>
      </c>
      <c r="J14" s="5" t="s">
        <v>195</v>
      </c>
      <c r="K14" s="5"/>
      <c r="L14" s="5" t="s">
        <v>95</v>
      </c>
      <c r="M14" s="5"/>
      <c r="N14" s="5"/>
      <c r="O14" s="5"/>
      <c r="P14" s="5"/>
    </row>
    <row r="15" customFormat="false" ht="27.75" hidden="false" customHeight="true" outlineLevel="0" collapsed="false">
      <c r="A15" s="5" t="s">
        <v>2352</v>
      </c>
      <c r="B15" s="5" t="s">
        <v>167</v>
      </c>
      <c r="C15" s="5" t="s">
        <v>102</v>
      </c>
      <c r="D15" s="5" t="s">
        <v>2353</v>
      </c>
      <c r="E15" s="5" t="s">
        <v>2354</v>
      </c>
      <c r="F15" s="5" t="s">
        <v>296</v>
      </c>
      <c r="G15" s="5" t="s">
        <v>2355</v>
      </c>
      <c r="H15" s="5" t="s">
        <v>2356</v>
      </c>
      <c r="I15" s="5" t="s">
        <v>90</v>
      </c>
      <c r="J15" s="5" t="s">
        <v>195</v>
      </c>
      <c r="K15" s="5"/>
      <c r="L15" s="5" t="s">
        <v>95</v>
      </c>
      <c r="M15" s="5"/>
      <c r="N15" s="5"/>
      <c r="O15" s="5"/>
      <c r="P15" s="5"/>
    </row>
    <row r="16" customFormat="false" ht="27.75" hidden="false" customHeight="true" outlineLevel="0" collapsed="false">
      <c r="A16" s="5" t="s">
        <v>2357</v>
      </c>
      <c r="B16" s="5" t="s">
        <v>167</v>
      </c>
      <c r="C16" s="5" t="s">
        <v>102</v>
      </c>
      <c r="D16" s="5" t="s">
        <v>2358</v>
      </c>
      <c r="E16" s="5" t="s">
        <v>400</v>
      </c>
      <c r="F16" s="5" t="s">
        <v>1269</v>
      </c>
      <c r="G16" s="5" t="s">
        <v>2359</v>
      </c>
      <c r="H16" s="5" t="s">
        <v>2360</v>
      </c>
      <c r="I16" s="5" t="s">
        <v>90</v>
      </c>
      <c r="J16" s="5" t="s">
        <v>1272</v>
      </c>
      <c r="K16" s="5"/>
      <c r="L16" s="5" t="s">
        <v>95</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27.75" hidden="false" customHeight="true" outlineLevel="0" collapsed="false">
      <c r="A2" s="5" t="s">
        <v>2361</v>
      </c>
      <c r="B2" s="5" t="s">
        <v>168</v>
      </c>
      <c r="C2" s="5" t="s">
        <v>103</v>
      </c>
      <c r="D2" s="5" t="s">
        <v>2362</v>
      </c>
      <c r="E2" s="5" t="s">
        <v>2363</v>
      </c>
      <c r="F2" s="5" t="s">
        <v>296</v>
      </c>
      <c r="G2" s="5" t="s">
        <v>2364</v>
      </c>
      <c r="H2" s="5" t="s">
        <v>2365</v>
      </c>
      <c r="I2" s="5" t="s">
        <v>88</v>
      </c>
      <c r="J2" s="5" t="s">
        <v>185</v>
      </c>
      <c r="K2" s="5" t="s">
        <v>2366</v>
      </c>
      <c r="L2" s="5" t="s">
        <v>32</v>
      </c>
      <c r="M2" s="5" t="s">
        <v>197</v>
      </c>
      <c r="N2" s="5" t="s">
        <v>28</v>
      </c>
      <c r="O2" s="5"/>
      <c r="P2" s="5"/>
    </row>
    <row r="3" customFormat="false" ht="27.75" hidden="false" customHeight="true" outlineLevel="0" collapsed="false">
      <c r="A3" s="5" t="s">
        <v>2367</v>
      </c>
      <c r="B3" s="5" t="s">
        <v>168</v>
      </c>
      <c r="C3" s="5" t="s">
        <v>103</v>
      </c>
      <c r="D3" s="5" t="s">
        <v>2368</v>
      </c>
      <c r="E3" s="5" t="s">
        <v>2369</v>
      </c>
      <c r="F3" s="5" t="s">
        <v>296</v>
      </c>
      <c r="G3" s="5" t="s">
        <v>2370</v>
      </c>
      <c r="H3" s="5" t="s">
        <v>2365</v>
      </c>
      <c r="I3" s="5" t="s">
        <v>88</v>
      </c>
      <c r="J3" s="5" t="s">
        <v>185</v>
      </c>
      <c r="K3" s="5" t="s">
        <v>2371</v>
      </c>
      <c r="L3" s="5" t="s">
        <v>32</v>
      </c>
      <c r="M3" s="5" t="s">
        <v>197</v>
      </c>
      <c r="N3" s="5" t="s">
        <v>28</v>
      </c>
      <c r="O3" s="5"/>
      <c r="P3" s="5"/>
    </row>
    <row r="4" customFormat="false" ht="27.75" hidden="false" customHeight="true" outlineLevel="0" collapsed="false">
      <c r="A4" s="5" t="s">
        <v>2372</v>
      </c>
      <c r="B4" s="5" t="s">
        <v>168</v>
      </c>
      <c r="C4" s="5" t="s">
        <v>103</v>
      </c>
      <c r="D4" s="5" t="s">
        <v>2373</v>
      </c>
      <c r="E4" s="5" t="s">
        <v>2374</v>
      </c>
      <c r="F4" s="5" t="s">
        <v>296</v>
      </c>
      <c r="G4" s="5" t="s">
        <v>2375</v>
      </c>
      <c r="H4" s="5" t="s">
        <v>2376</v>
      </c>
      <c r="I4" s="5" t="s">
        <v>89</v>
      </c>
      <c r="J4" s="5" t="s">
        <v>185</v>
      </c>
      <c r="K4" s="5"/>
      <c r="L4" s="5" t="s">
        <v>95</v>
      </c>
      <c r="M4" s="5"/>
      <c r="N4" s="5"/>
      <c r="O4" s="5"/>
      <c r="P4" s="5"/>
    </row>
    <row r="5" customFormat="false" ht="27.75" hidden="false" customHeight="true" outlineLevel="0" collapsed="false">
      <c r="A5" s="5" t="s">
        <v>2377</v>
      </c>
      <c r="B5" s="5" t="s">
        <v>168</v>
      </c>
      <c r="C5" s="5" t="s">
        <v>103</v>
      </c>
      <c r="D5" s="5" t="s">
        <v>2378</v>
      </c>
      <c r="E5" s="5" t="s">
        <v>2379</v>
      </c>
      <c r="F5" s="5" t="s">
        <v>296</v>
      </c>
      <c r="G5" s="5" t="s">
        <v>2380</v>
      </c>
      <c r="H5" s="5" t="s">
        <v>2381</v>
      </c>
      <c r="I5" s="5" t="s">
        <v>89</v>
      </c>
      <c r="J5" s="5" t="s">
        <v>185</v>
      </c>
      <c r="K5" s="5"/>
      <c r="L5" s="5" t="s">
        <v>95</v>
      </c>
      <c r="M5" s="5"/>
      <c r="N5" s="5"/>
      <c r="O5" s="5"/>
      <c r="P5" s="5"/>
    </row>
    <row r="6" customFormat="false" ht="27.75" hidden="false" customHeight="true" outlineLevel="0" collapsed="false">
      <c r="A6" s="5" t="s">
        <v>2382</v>
      </c>
      <c r="B6" s="5" t="s">
        <v>168</v>
      </c>
      <c r="C6" s="5" t="s">
        <v>103</v>
      </c>
      <c r="D6" s="5" t="s">
        <v>2383</v>
      </c>
      <c r="E6" s="5" t="s">
        <v>2384</v>
      </c>
      <c r="F6" s="5" t="s">
        <v>296</v>
      </c>
      <c r="G6" s="5" t="s">
        <v>2385</v>
      </c>
      <c r="H6" s="5" t="s">
        <v>2386</v>
      </c>
      <c r="I6" s="5" t="s">
        <v>89</v>
      </c>
      <c r="J6" s="5" t="s">
        <v>185</v>
      </c>
      <c r="K6" s="5"/>
      <c r="L6" s="5" t="s">
        <v>95</v>
      </c>
      <c r="M6" s="5"/>
      <c r="N6" s="5"/>
      <c r="O6" s="5"/>
      <c r="P6" s="5"/>
    </row>
    <row r="7" customFormat="false" ht="27.75" hidden="false" customHeight="true" outlineLevel="0" collapsed="false">
      <c r="A7" s="5" t="s">
        <v>2387</v>
      </c>
      <c r="B7" s="5" t="s">
        <v>168</v>
      </c>
      <c r="C7" s="5" t="s">
        <v>103</v>
      </c>
      <c r="D7" s="5" t="s">
        <v>2388</v>
      </c>
      <c r="E7" s="5" t="s">
        <v>1463</v>
      </c>
      <c r="F7" s="5" t="s">
        <v>296</v>
      </c>
      <c r="G7" s="5" t="s">
        <v>2389</v>
      </c>
      <c r="H7" s="5" t="s">
        <v>2390</v>
      </c>
      <c r="I7" s="5" t="s">
        <v>89</v>
      </c>
      <c r="J7" s="5" t="s">
        <v>185</v>
      </c>
      <c r="K7" s="5"/>
      <c r="L7" s="5" t="s">
        <v>95</v>
      </c>
      <c r="M7" s="5"/>
      <c r="N7" s="5"/>
      <c r="O7" s="5"/>
      <c r="P7" s="5"/>
    </row>
    <row r="8" customFormat="false" ht="27.75" hidden="false" customHeight="true" outlineLevel="0" collapsed="false">
      <c r="A8" s="5" t="s">
        <v>2391</v>
      </c>
      <c r="B8" s="5" t="s">
        <v>168</v>
      </c>
      <c r="C8" s="5" t="s">
        <v>103</v>
      </c>
      <c r="D8" s="5" t="s">
        <v>2392</v>
      </c>
      <c r="E8" s="5" t="s">
        <v>2393</v>
      </c>
      <c r="F8" s="5" t="s">
        <v>296</v>
      </c>
      <c r="G8" s="5" t="s">
        <v>2394</v>
      </c>
      <c r="H8" s="5" t="s">
        <v>2395</v>
      </c>
      <c r="I8" s="5" t="s">
        <v>88</v>
      </c>
      <c r="J8" s="5" t="s">
        <v>185</v>
      </c>
      <c r="K8" s="5" t="s">
        <v>2396</v>
      </c>
      <c r="L8" s="5" t="s">
        <v>32</v>
      </c>
      <c r="M8" s="5" t="s">
        <v>197</v>
      </c>
      <c r="N8" s="5" t="s">
        <v>28</v>
      </c>
      <c r="O8" s="5"/>
      <c r="P8" s="5"/>
    </row>
    <row r="9" customFormat="false" ht="27.75" hidden="false" customHeight="true" outlineLevel="0" collapsed="false">
      <c r="A9" s="5" t="s">
        <v>2397</v>
      </c>
      <c r="B9" s="5" t="s">
        <v>168</v>
      </c>
      <c r="C9" s="5" t="s">
        <v>103</v>
      </c>
      <c r="D9" s="5" t="s">
        <v>2398</v>
      </c>
      <c r="E9" s="5" t="s">
        <v>2399</v>
      </c>
      <c r="F9" s="5" t="s">
        <v>296</v>
      </c>
      <c r="G9" s="5" t="s">
        <v>2400</v>
      </c>
      <c r="H9" s="5" t="s">
        <v>2401</v>
      </c>
      <c r="I9" s="5" t="s">
        <v>89</v>
      </c>
      <c r="J9" s="5" t="s">
        <v>185</v>
      </c>
      <c r="K9" s="5"/>
      <c r="L9" s="5" t="s">
        <v>95</v>
      </c>
      <c r="M9" s="5"/>
      <c r="N9" s="5"/>
      <c r="O9" s="5"/>
      <c r="P9" s="5"/>
    </row>
    <row r="10" customFormat="false" ht="27.75" hidden="false" customHeight="true" outlineLevel="0" collapsed="false">
      <c r="A10" s="5" t="s">
        <v>2402</v>
      </c>
      <c r="B10" s="5" t="s">
        <v>169</v>
      </c>
      <c r="C10" s="5" t="s">
        <v>103</v>
      </c>
      <c r="D10" s="5" t="s">
        <v>2403</v>
      </c>
      <c r="E10" s="5" t="s">
        <v>2404</v>
      </c>
      <c r="F10" s="5" t="s">
        <v>296</v>
      </c>
      <c r="G10" s="5" t="s">
        <v>2405</v>
      </c>
      <c r="H10" s="5" t="s">
        <v>2406</v>
      </c>
      <c r="I10" s="5" t="s">
        <v>88</v>
      </c>
      <c r="J10" s="5" t="s">
        <v>185</v>
      </c>
      <c r="K10" s="5" t="s">
        <v>2407</v>
      </c>
      <c r="L10" s="5" t="s">
        <v>32</v>
      </c>
      <c r="M10" s="5" t="s">
        <v>197</v>
      </c>
      <c r="N10" s="5" t="s">
        <v>28</v>
      </c>
      <c r="O10" s="5"/>
      <c r="P10" s="5"/>
    </row>
    <row r="11" customFormat="false" ht="27.75" hidden="false" customHeight="true" outlineLevel="0" collapsed="false">
      <c r="A11" s="5" t="s">
        <v>2408</v>
      </c>
      <c r="B11" s="5" t="s">
        <v>169</v>
      </c>
      <c r="C11" s="5" t="s">
        <v>103</v>
      </c>
      <c r="D11" s="5" t="s">
        <v>2409</v>
      </c>
      <c r="E11" s="5" t="s">
        <v>2404</v>
      </c>
      <c r="F11" s="5" t="s">
        <v>296</v>
      </c>
      <c r="G11" s="5" t="s">
        <v>2410</v>
      </c>
      <c r="H11" s="5" t="s">
        <v>2107</v>
      </c>
      <c r="I11" s="5" t="s">
        <v>88</v>
      </c>
      <c r="J11" s="5" t="s">
        <v>185</v>
      </c>
      <c r="K11" s="5" t="s">
        <v>2411</v>
      </c>
      <c r="L11" s="5" t="s">
        <v>32</v>
      </c>
      <c r="M11" s="5" t="s">
        <v>197</v>
      </c>
      <c r="N11" s="5" t="s">
        <v>28</v>
      </c>
      <c r="O11" s="5"/>
      <c r="P11" s="5"/>
    </row>
    <row r="12" customFormat="false" ht="27.75" hidden="false" customHeight="true" outlineLevel="0" collapsed="false">
      <c r="A12" s="5" t="s">
        <v>2412</v>
      </c>
      <c r="B12" s="5" t="s">
        <v>169</v>
      </c>
      <c r="C12" s="5" t="s">
        <v>103</v>
      </c>
      <c r="D12" s="5" t="s">
        <v>2413</v>
      </c>
      <c r="E12" s="5" t="s">
        <v>2414</v>
      </c>
      <c r="F12" s="5" t="s">
        <v>2415</v>
      </c>
      <c r="G12" s="5" t="s">
        <v>2416</v>
      </c>
      <c r="H12" s="5" t="s">
        <v>2107</v>
      </c>
      <c r="I12" s="5" t="s">
        <v>88</v>
      </c>
      <c r="J12" s="5" t="s">
        <v>185</v>
      </c>
      <c r="K12" s="5" t="s">
        <v>2417</v>
      </c>
      <c r="L12" s="5" t="s">
        <v>32</v>
      </c>
      <c r="M12" s="5" t="s">
        <v>197</v>
      </c>
      <c r="N12" s="5" t="s">
        <v>28</v>
      </c>
      <c r="O12" s="5"/>
      <c r="P12" s="5"/>
    </row>
    <row r="13" customFormat="false" ht="27.75" hidden="false" customHeight="true" outlineLevel="0" collapsed="false">
      <c r="A13" s="5" t="s">
        <v>2418</v>
      </c>
      <c r="B13" s="5" t="s">
        <v>169</v>
      </c>
      <c r="C13" s="5" t="s">
        <v>103</v>
      </c>
      <c r="D13" s="5" t="s">
        <v>2419</v>
      </c>
      <c r="E13" s="5" t="s">
        <v>2420</v>
      </c>
      <c r="F13" s="5" t="s">
        <v>296</v>
      </c>
      <c r="G13" s="5" t="s">
        <v>2421</v>
      </c>
      <c r="H13" s="5" t="s">
        <v>2107</v>
      </c>
      <c r="I13" s="5" t="s">
        <v>88</v>
      </c>
      <c r="J13" s="5" t="s">
        <v>185</v>
      </c>
      <c r="K13" s="5" t="s">
        <v>2422</v>
      </c>
      <c r="L13" s="5" t="s">
        <v>32</v>
      </c>
      <c r="M13" s="5" t="s">
        <v>197</v>
      </c>
      <c r="N13" s="5" t="s">
        <v>28</v>
      </c>
      <c r="O13" s="5"/>
      <c r="P13" s="5"/>
    </row>
    <row r="14" customFormat="false" ht="27.75" hidden="false" customHeight="true" outlineLevel="0" collapsed="false">
      <c r="A14" s="5" t="s">
        <v>2423</v>
      </c>
      <c r="B14" s="5" t="s">
        <v>169</v>
      </c>
      <c r="C14" s="5" t="s">
        <v>103</v>
      </c>
      <c r="D14" s="5" t="s">
        <v>2424</v>
      </c>
      <c r="E14" s="5" t="s">
        <v>2425</v>
      </c>
      <c r="F14" s="5" t="s">
        <v>2426</v>
      </c>
      <c r="G14" s="5" t="s">
        <v>2427</v>
      </c>
      <c r="H14" s="5" t="s">
        <v>2428</v>
      </c>
      <c r="I14" s="5" t="s">
        <v>88</v>
      </c>
      <c r="J14" s="5" t="s">
        <v>185</v>
      </c>
      <c r="K14" s="5" t="s">
        <v>2429</v>
      </c>
      <c r="L14" s="5" t="s">
        <v>32</v>
      </c>
      <c r="M14" s="5" t="s">
        <v>197</v>
      </c>
      <c r="N14" s="5" t="s">
        <v>28</v>
      </c>
      <c r="O14" s="5"/>
      <c r="P14" s="5"/>
    </row>
    <row r="15" customFormat="false" ht="27.75" hidden="false" customHeight="true" outlineLevel="0" collapsed="false">
      <c r="A15" s="5" t="s">
        <v>2430</v>
      </c>
      <c r="B15" s="5" t="s">
        <v>169</v>
      </c>
      <c r="C15" s="5" t="s">
        <v>103</v>
      </c>
      <c r="D15" s="5" t="s">
        <v>2431</v>
      </c>
      <c r="E15" s="5" t="s">
        <v>2425</v>
      </c>
      <c r="F15" s="5" t="s">
        <v>296</v>
      </c>
      <c r="G15" s="5" t="s">
        <v>2421</v>
      </c>
      <c r="H15" s="5" t="s">
        <v>2107</v>
      </c>
      <c r="I15" s="5" t="s">
        <v>88</v>
      </c>
      <c r="J15" s="5" t="s">
        <v>185</v>
      </c>
      <c r="K15" s="5" t="s">
        <v>2432</v>
      </c>
      <c r="L15" s="5" t="s">
        <v>32</v>
      </c>
      <c r="M15" s="5" t="s">
        <v>197</v>
      </c>
      <c r="N15" s="5" t="s">
        <v>28</v>
      </c>
      <c r="O15" s="5"/>
      <c r="P15" s="5"/>
    </row>
    <row r="16" customFormat="false" ht="27.75" hidden="false" customHeight="true" outlineLevel="0" collapsed="false">
      <c r="A16" s="5" t="s">
        <v>2433</v>
      </c>
      <c r="B16" s="5" t="s">
        <v>169</v>
      </c>
      <c r="C16" s="5" t="s">
        <v>103</v>
      </c>
      <c r="D16" s="5" t="s">
        <v>2434</v>
      </c>
      <c r="E16" s="5" t="s">
        <v>2435</v>
      </c>
      <c r="F16" s="5" t="s">
        <v>296</v>
      </c>
      <c r="G16" s="5" t="s">
        <v>2410</v>
      </c>
      <c r="H16" s="5" t="s">
        <v>2107</v>
      </c>
      <c r="I16" s="5" t="s">
        <v>88</v>
      </c>
      <c r="J16" s="5" t="s">
        <v>185</v>
      </c>
      <c r="K16" s="5" t="s">
        <v>2436</v>
      </c>
      <c r="L16" s="5" t="s">
        <v>32</v>
      </c>
      <c r="M16" s="5" t="s">
        <v>197</v>
      </c>
      <c r="N16" s="5" t="s">
        <v>28</v>
      </c>
      <c r="O16" s="5"/>
      <c r="P16" s="5"/>
    </row>
    <row r="17" customFormat="false" ht="27.75" hidden="false" customHeight="true" outlineLevel="0" collapsed="false">
      <c r="A17" s="5" t="s">
        <v>2437</v>
      </c>
      <c r="B17" s="5" t="s">
        <v>169</v>
      </c>
      <c r="C17" s="5" t="s">
        <v>103</v>
      </c>
      <c r="D17" s="5" t="s">
        <v>2438</v>
      </c>
      <c r="E17" s="5" t="s">
        <v>2439</v>
      </c>
      <c r="F17" s="5" t="s">
        <v>296</v>
      </c>
      <c r="G17" s="5" t="s">
        <v>2440</v>
      </c>
      <c r="H17" s="5" t="s">
        <v>2107</v>
      </c>
      <c r="I17" s="5" t="s">
        <v>89</v>
      </c>
      <c r="J17" s="5" t="s">
        <v>185</v>
      </c>
      <c r="K17" s="5"/>
      <c r="L17" s="5" t="s">
        <v>95</v>
      </c>
      <c r="M17" s="5"/>
      <c r="N17" s="5"/>
      <c r="O17" s="5"/>
      <c r="P17" s="5"/>
    </row>
    <row r="18" customFormat="false" ht="27.75" hidden="false" customHeight="true" outlineLevel="0" collapsed="false">
      <c r="A18" s="5" t="s">
        <v>2441</v>
      </c>
      <c r="B18" s="5" t="s">
        <v>169</v>
      </c>
      <c r="C18" s="5" t="s">
        <v>103</v>
      </c>
      <c r="D18" s="5" t="s">
        <v>2442</v>
      </c>
      <c r="E18" s="5" t="s">
        <v>2435</v>
      </c>
      <c r="F18" s="5" t="s">
        <v>296</v>
      </c>
      <c r="G18" s="5" t="s">
        <v>2443</v>
      </c>
      <c r="H18" s="5" t="s">
        <v>2444</v>
      </c>
      <c r="I18" s="5" t="s">
        <v>88</v>
      </c>
      <c r="J18" s="5" t="s">
        <v>185</v>
      </c>
      <c r="K18" s="5" t="s">
        <v>2445</v>
      </c>
      <c r="L18" s="5" t="s">
        <v>32</v>
      </c>
      <c r="M18" s="5" t="s">
        <v>197</v>
      </c>
      <c r="N18" s="5" t="s">
        <v>28</v>
      </c>
      <c r="O18" s="5"/>
      <c r="P18" s="5"/>
    </row>
    <row r="19" customFormat="false" ht="27.75" hidden="false" customHeight="true" outlineLevel="0" collapsed="false">
      <c r="A19" s="5" t="s">
        <v>2446</v>
      </c>
      <c r="B19" s="5" t="s">
        <v>169</v>
      </c>
      <c r="C19" s="5" t="s">
        <v>103</v>
      </c>
      <c r="D19" s="5" t="s">
        <v>2447</v>
      </c>
      <c r="E19" s="5" t="s">
        <v>2404</v>
      </c>
      <c r="F19" s="5" t="s">
        <v>296</v>
      </c>
      <c r="G19" s="5" t="s">
        <v>2448</v>
      </c>
      <c r="H19" s="5" t="s">
        <v>2449</v>
      </c>
      <c r="I19" s="5" t="s">
        <v>88</v>
      </c>
      <c r="J19" s="5" t="s">
        <v>185</v>
      </c>
      <c r="K19" s="5" t="s">
        <v>2450</v>
      </c>
      <c r="L19" s="5" t="s">
        <v>32</v>
      </c>
      <c r="M19" s="5" t="s">
        <v>197</v>
      </c>
      <c r="N19" s="5" t="s">
        <v>28</v>
      </c>
      <c r="O19" s="5"/>
      <c r="P19" s="5"/>
    </row>
    <row r="20" customFormat="false" ht="27.75" hidden="false" customHeight="true" outlineLevel="0" collapsed="false">
      <c r="A20" s="5" t="s">
        <v>2451</v>
      </c>
      <c r="B20" s="5" t="s">
        <v>169</v>
      </c>
      <c r="C20" s="5" t="s">
        <v>103</v>
      </c>
      <c r="D20" s="5" t="s">
        <v>2452</v>
      </c>
      <c r="E20" s="5" t="s">
        <v>2439</v>
      </c>
      <c r="F20" s="5" t="s">
        <v>296</v>
      </c>
      <c r="G20" s="5" t="s">
        <v>2453</v>
      </c>
      <c r="H20" s="5" t="s">
        <v>2454</v>
      </c>
      <c r="I20" s="5" t="s">
        <v>89</v>
      </c>
      <c r="J20" s="5" t="s">
        <v>185</v>
      </c>
      <c r="K20" s="5"/>
      <c r="L20" s="5" t="s">
        <v>95</v>
      </c>
      <c r="M20" s="5"/>
      <c r="N20" s="5"/>
      <c r="O20" s="5"/>
      <c r="P20" s="5"/>
    </row>
    <row r="21" customFormat="false" ht="27.75" hidden="false" customHeight="true" outlineLevel="0" collapsed="false">
      <c r="A21" s="5" t="s">
        <v>2455</v>
      </c>
      <c r="B21" s="5" t="s">
        <v>169</v>
      </c>
      <c r="C21" s="5" t="s">
        <v>103</v>
      </c>
      <c r="D21" s="5" t="s">
        <v>2456</v>
      </c>
      <c r="E21" s="5" t="s">
        <v>2457</v>
      </c>
      <c r="F21" s="5" t="s">
        <v>296</v>
      </c>
      <c r="G21" s="5" t="s">
        <v>2458</v>
      </c>
      <c r="H21" s="5" t="s">
        <v>1877</v>
      </c>
      <c r="I21" s="5" t="s">
        <v>88</v>
      </c>
      <c r="J21" s="5" t="s">
        <v>185</v>
      </c>
      <c r="K21" s="5" t="s">
        <v>2459</v>
      </c>
      <c r="L21" s="5" t="s">
        <v>32</v>
      </c>
      <c r="M21" s="5" t="s">
        <v>197</v>
      </c>
      <c r="N21" s="5" t="s">
        <v>28</v>
      </c>
      <c r="O21" s="5"/>
      <c r="P21" s="5"/>
    </row>
    <row r="22" customFormat="false" ht="27.75" hidden="false" customHeight="true" outlineLevel="0" collapsed="false">
      <c r="A22" s="5" t="s">
        <v>2460</v>
      </c>
      <c r="B22" s="5" t="s">
        <v>169</v>
      </c>
      <c r="C22" s="5" t="s">
        <v>103</v>
      </c>
      <c r="D22" s="5" t="s">
        <v>2461</v>
      </c>
      <c r="E22" s="5" t="s">
        <v>2420</v>
      </c>
      <c r="F22" s="5" t="s">
        <v>2462</v>
      </c>
      <c r="G22" s="5" t="s">
        <v>2463</v>
      </c>
      <c r="H22" s="5" t="s">
        <v>2464</v>
      </c>
      <c r="I22" s="5" t="s">
        <v>89</v>
      </c>
      <c r="J22" s="5" t="s">
        <v>185</v>
      </c>
      <c r="K22" s="5"/>
      <c r="L22" s="5" t="s">
        <v>95</v>
      </c>
      <c r="M22" s="5"/>
      <c r="N22" s="5"/>
      <c r="O22" s="5"/>
      <c r="P22" s="5"/>
    </row>
    <row r="23" customFormat="false" ht="68.25" hidden="false" customHeight="true" outlineLevel="0" collapsed="false">
      <c r="A23" s="5" t="s">
        <v>2465</v>
      </c>
      <c r="B23" s="5" t="s">
        <v>170</v>
      </c>
      <c r="C23" s="5" t="s">
        <v>103</v>
      </c>
      <c r="D23" s="5" t="s">
        <v>2466</v>
      </c>
      <c r="E23" s="5" t="s">
        <v>2467</v>
      </c>
      <c r="F23" s="5" t="s">
        <v>296</v>
      </c>
      <c r="G23" s="5" t="s">
        <v>2468</v>
      </c>
      <c r="H23" s="5" t="s">
        <v>2469</v>
      </c>
      <c r="I23" s="5" t="s">
        <v>88</v>
      </c>
      <c r="J23" s="5" t="s">
        <v>185</v>
      </c>
      <c r="K23" s="5" t="s">
        <v>2470</v>
      </c>
      <c r="L23" s="5" t="s">
        <v>32</v>
      </c>
      <c r="M23" s="5" t="s">
        <v>197</v>
      </c>
      <c r="N23" s="5" t="s">
        <v>28</v>
      </c>
      <c r="O23" s="5"/>
      <c r="P23" s="5"/>
    </row>
    <row r="24" customFormat="false" ht="27.75" hidden="false" customHeight="true" outlineLevel="0" collapsed="false">
      <c r="A24" s="5" t="s">
        <v>2471</v>
      </c>
      <c r="B24" s="5" t="s">
        <v>170</v>
      </c>
      <c r="C24" s="5" t="s">
        <v>103</v>
      </c>
      <c r="D24" s="5" t="s">
        <v>2472</v>
      </c>
      <c r="E24" s="5" t="s">
        <v>2473</v>
      </c>
      <c r="F24" s="5" t="s">
        <v>296</v>
      </c>
      <c r="G24" s="5" t="s">
        <v>2474</v>
      </c>
      <c r="H24" s="5" t="s">
        <v>2475</v>
      </c>
      <c r="I24" s="5" t="s">
        <v>89</v>
      </c>
      <c r="J24" s="5" t="s">
        <v>218</v>
      </c>
      <c r="K24" s="5"/>
      <c r="L24" s="5" t="s">
        <v>95</v>
      </c>
      <c r="M24" s="5"/>
      <c r="N24" s="5"/>
      <c r="O24" s="5"/>
      <c r="P24" s="5"/>
    </row>
    <row r="25" customFormat="false" ht="27.75" hidden="false" customHeight="true" outlineLevel="0" collapsed="false">
      <c r="A25" s="5" t="s">
        <v>2476</v>
      </c>
      <c r="B25" s="5" t="s">
        <v>170</v>
      </c>
      <c r="C25" s="5" t="s">
        <v>103</v>
      </c>
      <c r="D25" s="5" t="s">
        <v>2477</v>
      </c>
      <c r="E25" s="5" t="s">
        <v>1976</v>
      </c>
      <c r="F25" s="5" t="s">
        <v>296</v>
      </c>
      <c r="G25" s="5" t="s">
        <v>2478</v>
      </c>
      <c r="H25" s="5" t="s">
        <v>2479</v>
      </c>
      <c r="I25" s="5" t="s">
        <v>89</v>
      </c>
      <c r="J25" s="5" t="s">
        <v>185</v>
      </c>
      <c r="K25" s="5"/>
      <c r="L25" s="5" t="s">
        <v>95</v>
      </c>
      <c r="M25" s="5"/>
      <c r="N25" s="5"/>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177</v>
      </c>
      <c r="B1" s="13" t="s">
        <v>107</v>
      </c>
      <c r="C1" s="13" t="s">
        <v>86</v>
      </c>
      <c r="D1" s="13" t="s">
        <v>178</v>
      </c>
      <c r="E1" s="13" t="s">
        <v>179</v>
      </c>
      <c r="F1" s="13" t="s">
        <v>180</v>
      </c>
      <c r="G1" s="13" t="s">
        <v>181</v>
      </c>
      <c r="H1" s="13" t="s">
        <v>182</v>
      </c>
      <c r="I1" s="13" t="s">
        <v>109</v>
      </c>
      <c r="J1" s="13" t="s">
        <v>183</v>
      </c>
      <c r="K1" s="13" t="s">
        <v>184</v>
      </c>
      <c r="L1" s="13" t="s">
        <v>185</v>
      </c>
      <c r="M1" s="13" t="s">
        <v>186</v>
      </c>
      <c r="N1" s="13" t="s">
        <v>187</v>
      </c>
      <c r="O1" s="13" t="s">
        <v>188</v>
      </c>
      <c r="P1" s="13" t="s">
        <v>27</v>
      </c>
    </row>
    <row r="2" customFormat="false" ht="27.75" hidden="false" customHeight="true" outlineLevel="0" collapsed="false">
      <c r="A2" s="5" t="s">
        <v>2480</v>
      </c>
      <c r="B2" s="5" t="s">
        <v>171</v>
      </c>
      <c r="C2" s="5" t="s">
        <v>104</v>
      </c>
      <c r="D2" s="5" t="s">
        <v>2481</v>
      </c>
      <c r="E2" s="5" t="s">
        <v>2482</v>
      </c>
      <c r="F2" s="5" t="s">
        <v>296</v>
      </c>
      <c r="G2" s="5" t="s">
        <v>2483</v>
      </c>
      <c r="H2" s="5" t="s">
        <v>2484</v>
      </c>
      <c r="I2" s="5" t="s">
        <v>88</v>
      </c>
      <c r="J2" s="5" t="s">
        <v>271</v>
      </c>
      <c r="K2" s="5" t="s">
        <v>2485</v>
      </c>
      <c r="L2" s="5" t="s">
        <v>32</v>
      </c>
      <c r="M2" s="5" t="s">
        <v>197</v>
      </c>
      <c r="N2" s="5" t="s">
        <v>28</v>
      </c>
      <c r="O2" s="5"/>
      <c r="P2" s="5"/>
    </row>
    <row r="3" customFormat="false" ht="27.75" hidden="false" customHeight="true" outlineLevel="0" collapsed="false">
      <c r="A3" s="5" t="s">
        <v>2486</v>
      </c>
      <c r="B3" s="5" t="s">
        <v>171</v>
      </c>
      <c r="C3" s="5" t="s">
        <v>104</v>
      </c>
      <c r="D3" s="5" t="s">
        <v>2487</v>
      </c>
      <c r="E3" s="5" t="s">
        <v>206</v>
      </c>
      <c r="F3" s="5" t="s">
        <v>296</v>
      </c>
      <c r="G3" s="5" t="s">
        <v>2488</v>
      </c>
      <c r="H3" s="5" t="s">
        <v>2489</v>
      </c>
      <c r="I3" s="5" t="s">
        <v>88</v>
      </c>
      <c r="J3" s="5" t="s">
        <v>271</v>
      </c>
      <c r="K3" s="5" t="s">
        <v>2490</v>
      </c>
      <c r="L3" s="5" t="s">
        <v>32</v>
      </c>
      <c r="M3" s="5" t="s">
        <v>197</v>
      </c>
      <c r="N3" s="5" t="s">
        <v>28</v>
      </c>
      <c r="O3" s="5"/>
      <c r="P3" s="5"/>
    </row>
    <row r="4" customFormat="false" ht="27.75" hidden="false" customHeight="true" outlineLevel="0" collapsed="false">
      <c r="A4" s="5" t="s">
        <v>2491</v>
      </c>
      <c r="B4" s="5" t="s">
        <v>171</v>
      </c>
      <c r="C4" s="5" t="s">
        <v>104</v>
      </c>
      <c r="D4" s="5" t="s">
        <v>2492</v>
      </c>
      <c r="E4" s="5" t="s">
        <v>2493</v>
      </c>
      <c r="F4" s="5" t="s">
        <v>2494</v>
      </c>
      <c r="G4" s="5" t="s">
        <v>2495</v>
      </c>
      <c r="H4" s="5" t="s">
        <v>2489</v>
      </c>
      <c r="I4" s="5" t="s">
        <v>88</v>
      </c>
      <c r="J4" s="5" t="s">
        <v>271</v>
      </c>
      <c r="K4" s="5" t="s">
        <v>2496</v>
      </c>
      <c r="L4" s="5" t="s">
        <v>32</v>
      </c>
      <c r="M4" s="5" t="s">
        <v>197</v>
      </c>
      <c r="N4" s="5" t="s">
        <v>28</v>
      </c>
      <c r="O4" s="5"/>
      <c r="P4" s="5"/>
    </row>
    <row r="5" customFormat="false" ht="27.75" hidden="false" customHeight="true" outlineLevel="0" collapsed="false">
      <c r="A5" s="5" t="s">
        <v>2497</v>
      </c>
      <c r="B5" s="5" t="s">
        <v>171</v>
      </c>
      <c r="C5" s="5" t="s">
        <v>104</v>
      </c>
      <c r="D5" s="5" t="s">
        <v>2498</v>
      </c>
      <c r="E5" s="5" t="s">
        <v>2499</v>
      </c>
      <c r="F5" s="5" t="s">
        <v>296</v>
      </c>
      <c r="G5" s="5" t="s">
        <v>2500</v>
      </c>
      <c r="H5" s="5" t="s">
        <v>2501</v>
      </c>
      <c r="I5" s="5" t="s">
        <v>88</v>
      </c>
      <c r="J5" s="5" t="s">
        <v>271</v>
      </c>
      <c r="K5" s="5" t="s">
        <v>2502</v>
      </c>
      <c r="L5" s="5" t="s">
        <v>32</v>
      </c>
      <c r="M5" s="5" t="s">
        <v>197</v>
      </c>
      <c r="N5" s="5" t="s">
        <v>28</v>
      </c>
      <c r="O5" s="5"/>
      <c r="P5" s="5"/>
    </row>
    <row r="6" customFormat="false" ht="15" hidden="false" customHeight="true" outlineLevel="0" collapsed="false">
      <c r="A6" s="5" t="s">
        <v>2503</v>
      </c>
      <c r="B6" s="5" t="s">
        <v>171</v>
      </c>
      <c r="C6" s="5" t="s">
        <v>104</v>
      </c>
      <c r="D6" s="5" t="s">
        <v>2504</v>
      </c>
      <c r="E6" s="5" t="s">
        <v>2505</v>
      </c>
      <c r="F6" s="5" t="s">
        <v>2506</v>
      </c>
      <c r="G6" s="5" t="s">
        <v>2507</v>
      </c>
      <c r="H6" s="5" t="s">
        <v>2508</v>
      </c>
      <c r="I6" s="5" t="s">
        <v>88</v>
      </c>
      <c r="J6" s="5" t="s">
        <v>271</v>
      </c>
      <c r="K6" s="5" t="s">
        <v>2509</v>
      </c>
      <c r="L6" s="5" t="s">
        <v>32</v>
      </c>
      <c r="M6" s="5" t="s">
        <v>197</v>
      </c>
      <c r="N6" s="5" t="s">
        <v>28</v>
      </c>
      <c r="O6" s="5"/>
      <c r="P6" s="5"/>
    </row>
    <row r="7" customFormat="false" ht="15" hidden="false" customHeight="true" outlineLevel="0" collapsed="false">
      <c r="A7" s="5" t="s">
        <v>2510</v>
      </c>
      <c r="B7" s="5" t="s">
        <v>171</v>
      </c>
      <c r="C7" s="5" t="s">
        <v>104</v>
      </c>
      <c r="D7" s="5" t="s">
        <v>2511</v>
      </c>
      <c r="E7" s="5" t="s">
        <v>296</v>
      </c>
      <c r="F7" s="5" t="s">
        <v>2512</v>
      </c>
      <c r="G7" s="5" t="s">
        <v>2513</v>
      </c>
      <c r="H7" s="5" t="s">
        <v>2514</v>
      </c>
      <c r="I7" s="5" t="s">
        <v>89</v>
      </c>
      <c r="J7" s="5" t="s">
        <v>271</v>
      </c>
      <c r="K7" s="5"/>
      <c r="L7" s="5" t="s">
        <v>95</v>
      </c>
      <c r="M7" s="5"/>
      <c r="N7" s="5"/>
      <c r="O7" s="5"/>
      <c r="P7" s="5"/>
    </row>
    <row r="8" customFormat="false" ht="15" hidden="false" customHeight="true" outlineLevel="0" collapsed="false">
      <c r="A8" s="5" t="s">
        <v>2515</v>
      </c>
      <c r="B8" s="5" t="s">
        <v>171</v>
      </c>
      <c r="C8" s="5" t="s">
        <v>104</v>
      </c>
      <c r="D8" s="5" t="s">
        <v>2516</v>
      </c>
      <c r="E8" s="5" t="s">
        <v>296</v>
      </c>
      <c r="F8" s="5" t="s">
        <v>2517</v>
      </c>
      <c r="G8" s="5" t="s">
        <v>2518</v>
      </c>
      <c r="H8" s="5" t="s">
        <v>2519</v>
      </c>
      <c r="I8" s="5" t="s">
        <v>89</v>
      </c>
      <c r="J8" s="5" t="s">
        <v>271</v>
      </c>
      <c r="K8" s="5"/>
      <c r="L8" s="5" t="s">
        <v>95</v>
      </c>
      <c r="M8" s="5"/>
      <c r="N8" s="5"/>
      <c r="O8" s="5"/>
      <c r="P8" s="5"/>
    </row>
    <row r="9" customFormat="false" ht="15" hidden="false" customHeight="true" outlineLevel="0" collapsed="false">
      <c r="A9" s="5" t="s">
        <v>2520</v>
      </c>
      <c r="B9" s="5" t="s">
        <v>171</v>
      </c>
      <c r="C9" s="5" t="s">
        <v>104</v>
      </c>
      <c r="D9" s="5" t="s">
        <v>2521</v>
      </c>
      <c r="E9" s="5" t="s">
        <v>296</v>
      </c>
      <c r="F9" s="5" t="s">
        <v>2522</v>
      </c>
      <c r="G9" s="5" t="s">
        <v>2523</v>
      </c>
      <c r="H9" s="5" t="s">
        <v>2524</v>
      </c>
      <c r="I9" s="5" t="s">
        <v>89</v>
      </c>
      <c r="J9" s="5" t="s">
        <v>271</v>
      </c>
      <c r="K9" s="5"/>
      <c r="L9" s="5" t="s">
        <v>95</v>
      </c>
      <c r="M9" s="5"/>
      <c r="N9" s="5"/>
      <c r="O9" s="5"/>
      <c r="P9" s="5"/>
    </row>
    <row r="10" customFormat="false" ht="27.75" hidden="false" customHeight="true" outlineLevel="0" collapsed="false">
      <c r="A10" s="5" t="s">
        <v>2525</v>
      </c>
      <c r="B10" s="5" t="s">
        <v>171</v>
      </c>
      <c r="C10" s="5" t="s">
        <v>104</v>
      </c>
      <c r="D10" s="5" t="s">
        <v>2526</v>
      </c>
      <c r="E10" s="5" t="s">
        <v>296</v>
      </c>
      <c r="F10" s="5" t="s">
        <v>296</v>
      </c>
      <c r="G10" s="5" t="s">
        <v>2527</v>
      </c>
      <c r="H10" s="5" t="s">
        <v>2528</v>
      </c>
      <c r="I10" s="5" t="s">
        <v>89</v>
      </c>
      <c r="J10" s="5" t="s">
        <v>271</v>
      </c>
      <c r="K10" s="5"/>
      <c r="L10" s="5" t="s">
        <v>95</v>
      </c>
      <c r="M10" s="5"/>
      <c r="N10" s="5"/>
      <c r="O10" s="5"/>
      <c r="P10" s="5"/>
    </row>
    <row r="11" customFormat="false" ht="15" hidden="false" customHeight="true" outlineLevel="0" collapsed="false">
      <c r="A11" s="5" t="s">
        <v>2529</v>
      </c>
      <c r="B11" s="5" t="s">
        <v>171</v>
      </c>
      <c r="C11" s="5" t="s">
        <v>104</v>
      </c>
      <c r="D11" s="5" t="s">
        <v>2530</v>
      </c>
      <c r="E11" s="5" t="s">
        <v>296</v>
      </c>
      <c r="F11" s="5" t="s">
        <v>2531</v>
      </c>
      <c r="G11" s="5" t="s">
        <v>2532</v>
      </c>
      <c r="H11" s="5" t="s">
        <v>2533</v>
      </c>
      <c r="I11" s="5" t="s">
        <v>89</v>
      </c>
      <c r="J11" s="5" t="s">
        <v>271</v>
      </c>
      <c r="K11" s="5"/>
      <c r="L11" s="5" t="s">
        <v>95</v>
      </c>
      <c r="M11" s="5"/>
      <c r="N11" s="5"/>
      <c r="O11" s="5"/>
      <c r="P11" s="5"/>
    </row>
    <row r="12" customFormat="false" ht="27.75" hidden="false" customHeight="true" outlineLevel="0" collapsed="false">
      <c r="A12" s="5" t="s">
        <v>2534</v>
      </c>
      <c r="B12" s="5" t="s">
        <v>171</v>
      </c>
      <c r="C12" s="5" t="s">
        <v>104</v>
      </c>
      <c r="D12" s="5" t="s">
        <v>2535</v>
      </c>
      <c r="E12" s="5" t="s">
        <v>296</v>
      </c>
      <c r="F12" s="5" t="s">
        <v>296</v>
      </c>
      <c r="G12" s="5" t="s">
        <v>2536</v>
      </c>
      <c r="H12" s="5" t="s">
        <v>2537</v>
      </c>
      <c r="I12" s="5" t="s">
        <v>89</v>
      </c>
      <c r="J12" s="5" t="s">
        <v>271</v>
      </c>
      <c r="K12" s="5"/>
      <c r="L12" s="5" t="s">
        <v>95</v>
      </c>
      <c r="M12" s="5"/>
      <c r="N12" s="5"/>
      <c r="O12" s="5"/>
      <c r="P12" s="5"/>
    </row>
    <row r="13" customFormat="false" ht="27.75" hidden="false" customHeight="true" outlineLevel="0" collapsed="false">
      <c r="A13" s="5" t="s">
        <v>2538</v>
      </c>
      <c r="B13" s="5" t="s">
        <v>171</v>
      </c>
      <c r="C13" s="5" t="s">
        <v>104</v>
      </c>
      <c r="D13" s="5" t="s">
        <v>2539</v>
      </c>
      <c r="E13" s="5" t="s">
        <v>296</v>
      </c>
      <c r="F13" s="5" t="s">
        <v>2540</v>
      </c>
      <c r="G13" s="5" t="s">
        <v>2541</v>
      </c>
      <c r="H13" s="5" t="s">
        <v>2542</v>
      </c>
      <c r="I13" s="5" t="s">
        <v>89</v>
      </c>
      <c r="J13" s="5" t="s">
        <v>271</v>
      </c>
      <c r="K13" s="5"/>
      <c r="L13" s="5" t="s">
        <v>95</v>
      </c>
      <c r="M13" s="5"/>
      <c r="N13" s="5"/>
      <c r="O13" s="5"/>
      <c r="P13" s="5"/>
    </row>
    <row r="14" customFormat="false" ht="15" hidden="false" customHeight="true" outlineLevel="0" collapsed="false">
      <c r="A14" s="5" t="s">
        <v>2543</v>
      </c>
      <c r="B14" s="5" t="s">
        <v>171</v>
      </c>
      <c r="C14" s="5" t="s">
        <v>104</v>
      </c>
      <c r="D14" s="5" t="s">
        <v>2544</v>
      </c>
      <c r="E14" s="5" t="s">
        <v>2545</v>
      </c>
      <c r="F14" s="5" t="s">
        <v>296</v>
      </c>
      <c r="G14" s="5" t="s">
        <v>2546</v>
      </c>
      <c r="H14" s="5" t="s">
        <v>2547</v>
      </c>
      <c r="I14" s="5" t="s">
        <v>90</v>
      </c>
      <c r="J14" s="5" t="s">
        <v>271</v>
      </c>
      <c r="K14" s="5"/>
      <c r="L14" s="5" t="s">
        <v>95</v>
      </c>
      <c r="M14" s="5"/>
      <c r="N14" s="5"/>
      <c r="O14" s="5"/>
      <c r="P14" s="5"/>
    </row>
    <row r="15" customFormat="false" ht="15" hidden="false" customHeight="true" outlineLevel="0" collapsed="false">
      <c r="A15" s="5" t="s">
        <v>2548</v>
      </c>
      <c r="B15" s="5" t="s">
        <v>172</v>
      </c>
      <c r="C15" s="5" t="s">
        <v>104</v>
      </c>
      <c r="D15" s="5" t="s">
        <v>2549</v>
      </c>
      <c r="E15" s="5" t="s">
        <v>2550</v>
      </c>
      <c r="F15" s="5" t="s">
        <v>2551</v>
      </c>
      <c r="G15" s="5" t="s">
        <v>2552</v>
      </c>
      <c r="H15" s="5" t="s">
        <v>2553</v>
      </c>
      <c r="I15" s="5" t="s">
        <v>89</v>
      </c>
      <c r="J15" s="5" t="s">
        <v>2554</v>
      </c>
      <c r="K15" s="5"/>
      <c r="L15" s="5" t="s">
        <v>95</v>
      </c>
      <c r="M15" s="5"/>
      <c r="N15" s="5"/>
      <c r="O15" s="5"/>
      <c r="P15" s="5"/>
    </row>
    <row r="16" customFormat="false" ht="15" hidden="false" customHeight="true" outlineLevel="0" collapsed="false">
      <c r="A16" s="5" t="s">
        <v>2555</v>
      </c>
      <c r="B16" s="5" t="s">
        <v>172</v>
      </c>
      <c r="C16" s="5" t="s">
        <v>104</v>
      </c>
      <c r="D16" s="5" t="s">
        <v>2556</v>
      </c>
      <c r="E16" s="5" t="s">
        <v>2545</v>
      </c>
      <c r="F16" s="5" t="s">
        <v>296</v>
      </c>
      <c r="G16" s="5" t="s">
        <v>2557</v>
      </c>
      <c r="H16" s="5" t="s">
        <v>2558</v>
      </c>
      <c r="I16" s="5" t="s">
        <v>90</v>
      </c>
      <c r="J16" s="5" t="s">
        <v>2554</v>
      </c>
      <c r="K16" s="5"/>
      <c r="L16" s="5" t="s">
        <v>95</v>
      </c>
      <c r="M16" s="5"/>
      <c r="N16" s="5"/>
      <c r="O16" s="5"/>
      <c r="P16" s="5"/>
    </row>
    <row r="17" customFormat="false" ht="15" hidden="false" customHeight="true" outlineLevel="0" collapsed="false">
      <c r="A17" s="5" t="s">
        <v>2559</v>
      </c>
      <c r="B17" s="5" t="s">
        <v>172</v>
      </c>
      <c r="C17" s="5" t="s">
        <v>104</v>
      </c>
      <c r="D17" s="5" t="s">
        <v>2560</v>
      </c>
      <c r="E17" s="5" t="s">
        <v>296</v>
      </c>
      <c r="F17" s="5" t="s">
        <v>2561</v>
      </c>
      <c r="G17" s="5" t="s">
        <v>2562</v>
      </c>
      <c r="H17" s="5" t="s">
        <v>2563</v>
      </c>
      <c r="I17" s="5" t="s">
        <v>90</v>
      </c>
      <c r="J17" s="5" t="s">
        <v>2554</v>
      </c>
      <c r="K17" s="5"/>
      <c r="L17" s="5" t="s">
        <v>95</v>
      </c>
      <c r="M17" s="5"/>
      <c r="N17" s="5"/>
      <c r="O17" s="5"/>
      <c r="P17" s="5"/>
    </row>
    <row r="18" customFormat="false" ht="15" hidden="false" customHeight="true" outlineLevel="0" collapsed="false">
      <c r="A18" s="5" t="s">
        <v>2564</v>
      </c>
      <c r="B18" s="5" t="s">
        <v>173</v>
      </c>
      <c r="C18" s="5" t="s">
        <v>104</v>
      </c>
      <c r="D18" s="5" t="s">
        <v>2565</v>
      </c>
      <c r="E18" s="5" t="s">
        <v>296</v>
      </c>
      <c r="F18" s="5" t="s">
        <v>296</v>
      </c>
      <c r="G18" s="5" t="s">
        <v>2566</v>
      </c>
      <c r="H18" s="5" t="s">
        <v>2567</v>
      </c>
      <c r="I18" s="5" t="s">
        <v>89</v>
      </c>
      <c r="J18" s="5" t="s">
        <v>195</v>
      </c>
      <c r="K18" s="5"/>
      <c r="L18" s="5" t="s">
        <v>95</v>
      </c>
      <c r="M18" s="5"/>
      <c r="N18" s="5"/>
      <c r="O18" s="5"/>
      <c r="P18" s="5"/>
    </row>
    <row r="19" customFormat="false" ht="41.25" hidden="false" customHeight="true" outlineLevel="0" collapsed="false">
      <c r="A19" s="5" t="s">
        <v>2568</v>
      </c>
      <c r="B19" s="5" t="s">
        <v>173</v>
      </c>
      <c r="C19" s="5" t="s">
        <v>104</v>
      </c>
      <c r="D19" s="5" t="s">
        <v>2569</v>
      </c>
      <c r="E19" s="5" t="s">
        <v>2570</v>
      </c>
      <c r="F19" s="5" t="s">
        <v>296</v>
      </c>
      <c r="G19" s="5" t="s">
        <v>2571</v>
      </c>
      <c r="H19" s="5" t="s">
        <v>2572</v>
      </c>
      <c r="I19" s="5" t="s">
        <v>89</v>
      </c>
      <c r="J19" s="5" t="s">
        <v>195</v>
      </c>
      <c r="K19" s="5"/>
      <c r="L19" s="5" t="s">
        <v>95</v>
      </c>
      <c r="M19" s="5"/>
      <c r="N19" s="5"/>
      <c r="O19" s="5"/>
      <c r="P19" s="5"/>
    </row>
    <row r="20" customFormat="false" ht="27.75" hidden="false" customHeight="true" outlineLevel="0" collapsed="false">
      <c r="A20" s="5" t="s">
        <v>2573</v>
      </c>
      <c r="B20" s="5" t="s">
        <v>173</v>
      </c>
      <c r="C20" s="5" t="s">
        <v>104</v>
      </c>
      <c r="D20" s="5" t="s">
        <v>2574</v>
      </c>
      <c r="E20" s="5" t="s">
        <v>2575</v>
      </c>
      <c r="F20" s="5" t="s">
        <v>296</v>
      </c>
      <c r="G20" s="5" t="s">
        <v>2576</v>
      </c>
      <c r="H20" s="5" t="s">
        <v>2577</v>
      </c>
      <c r="I20" s="5" t="s">
        <v>90</v>
      </c>
      <c r="J20" s="5" t="s">
        <v>195</v>
      </c>
      <c r="K20" s="5"/>
      <c r="L20" s="5" t="s">
        <v>95</v>
      </c>
      <c r="M20" s="5"/>
      <c r="N20" s="5"/>
      <c r="O20" s="5"/>
      <c r="P20" s="5"/>
    </row>
    <row r="21" customFormat="false" ht="27.75" hidden="false" customHeight="true" outlineLevel="0" collapsed="false">
      <c r="A21" s="5" t="s">
        <v>2578</v>
      </c>
      <c r="B21" s="5" t="s">
        <v>174</v>
      </c>
      <c r="C21" s="5" t="s">
        <v>104</v>
      </c>
      <c r="D21" s="5" t="s">
        <v>2579</v>
      </c>
      <c r="E21" s="5" t="s">
        <v>296</v>
      </c>
      <c r="F21" s="5" t="s">
        <v>2580</v>
      </c>
      <c r="G21" s="5" t="s">
        <v>2581</v>
      </c>
      <c r="H21" s="5" t="s">
        <v>2582</v>
      </c>
      <c r="I21" s="5" t="s">
        <v>89</v>
      </c>
      <c r="J21" s="5" t="s">
        <v>1272</v>
      </c>
      <c r="K21" s="5"/>
      <c r="L21" s="5" t="s">
        <v>95</v>
      </c>
      <c r="M21" s="5"/>
      <c r="N21" s="5"/>
      <c r="O21" s="5"/>
      <c r="P21" s="5"/>
    </row>
    <row r="22" customFormat="false" ht="15" hidden="false" customHeight="true" outlineLevel="0" collapsed="false">
      <c r="A22" s="5" t="s">
        <v>2583</v>
      </c>
      <c r="B22" s="5" t="s">
        <v>174</v>
      </c>
      <c r="C22" s="5" t="s">
        <v>104</v>
      </c>
      <c r="D22" s="5" t="s">
        <v>2584</v>
      </c>
      <c r="E22" s="5" t="s">
        <v>296</v>
      </c>
      <c r="F22" s="5" t="s">
        <v>296</v>
      </c>
      <c r="G22" s="5" t="s">
        <v>2585</v>
      </c>
      <c r="H22" s="5" t="s">
        <v>2586</v>
      </c>
      <c r="I22" s="5" t="s">
        <v>89</v>
      </c>
      <c r="J22" s="5" t="s">
        <v>1272</v>
      </c>
      <c r="K22" s="5"/>
      <c r="L22" s="5" t="s">
        <v>95</v>
      </c>
      <c r="M22" s="5"/>
      <c r="N22" s="5"/>
      <c r="O22" s="5"/>
      <c r="P22" s="5"/>
    </row>
    <row r="23" customFormat="false" ht="41.25" hidden="false" customHeight="true" outlineLevel="0" collapsed="false">
      <c r="A23" s="5" t="s">
        <v>2587</v>
      </c>
      <c r="B23" s="5" t="s">
        <v>174</v>
      </c>
      <c r="C23" s="5" t="s">
        <v>104</v>
      </c>
      <c r="D23" s="5" t="s">
        <v>2588</v>
      </c>
      <c r="E23" s="5" t="s">
        <v>296</v>
      </c>
      <c r="F23" s="5" t="s">
        <v>2589</v>
      </c>
      <c r="G23" s="5" t="s">
        <v>2590</v>
      </c>
      <c r="H23" s="5" t="s">
        <v>2591</v>
      </c>
      <c r="I23" s="5" t="s">
        <v>90</v>
      </c>
      <c r="J23" s="5" t="s">
        <v>1272</v>
      </c>
      <c r="K23" s="5"/>
      <c r="L23" s="5" t="s">
        <v>95</v>
      </c>
      <c r="M23" s="5"/>
      <c r="N23" s="5"/>
      <c r="O23" s="5"/>
      <c r="P23" s="5"/>
    </row>
    <row r="24" customFormat="false" ht="15" hidden="false" customHeight="true" outlineLevel="0" collapsed="false">
      <c r="A24" s="5" t="s">
        <v>2592</v>
      </c>
      <c r="B24" s="5" t="s">
        <v>174</v>
      </c>
      <c r="C24" s="5" t="s">
        <v>104</v>
      </c>
      <c r="D24" s="5" t="s">
        <v>2593</v>
      </c>
      <c r="E24" s="5" t="s">
        <v>296</v>
      </c>
      <c r="F24" s="5" t="s">
        <v>2594</v>
      </c>
      <c r="G24" s="5" t="s">
        <v>2595</v>
      </c>
      <c r="H24" s="5" t="s">
        <v>2596</v>
      </c>
      <c r="I24" s="5" t="s">
        <v>89</v>
      </c>
      <c r="J24" s="5" t="s">
        <v>1272</v>
      </c>
      <c r="K24" s="5"/>
      <c r="L24" s="5" t="s">
        <v>95</v>
      </c>
      <c r="M24" s="5"/>
      <c r="N24" s="5"/>
      <c r="O24" s="5"/>
      <c r="P24" s="5"/>
    </row>
    <row r="25" customFormat="false" ht="27.75" hidden="false" customHeight="true" outlineLevel="0" collapsed="false">
      <c r="A25" s="5" t="s">
        <v>2597</v>
      </c>
      <c r="B25" s="5" t="s">
        <v>174</v>
      </c>
      <c r="C25" s="5" t="s">
        <v>104</v>
      </c>
      <c r="D25" s="5" t="s">
        <v>2598</v>
      </c>
      <c r="E25" s="5" t="s">
        <v>296</v>
      </c>
      <c r="F25" s="5" t="s">
        <v>296</v>
      </c>
      <c r="G25" s="5" t="s">
        <v>2599</v>
      </c>
      <c r="H25" s="5" t="s">
        <v>2600</v>
      </c>
      <c r="I25" s="5" t="s">
        <v>90</v>
      </c>
      <c r="J25" s="5" t="s">
        <v>1272</v>
      </c>
      <c r="K25" s="5"/>
      <c r="L25" s="5" t="s">
        <v>95</v>
      </c>
      <c r="M25" s="5"/>
      <c r="N25" s="5"/>
      <c r="O25" s="5"/>
      <c r="P25" s="5"/>
    </row>
    <row r="26" customFormat="false" ht="15" hidden="false" customHeight="true" outlineLevel="0" collapsed="false">
      <c r="A26" s="5" t="s">
        <v>2601</v>
      </c>
      <c r="B26" s="5" t="s">
        <v>174</v>
      </c>
      <c r="C26" s="5" t="s">
        <v>104</v>
      </c>
      <c r="D26" s="5" t="s">
        <v>2602</v>
      </c>
      <c r="E26" s="5" t="s">
        <v>296</v>
      </c>
      <c r="F26" s="5" t="s">
        <v>2603</v>
      </c>
      <c r="G26" s="5" t="s">
        <v>2513</v>
      </c>
      <c r="H26" s="5" t="s">
        <v>2604</v>
      </c>
      <c r="I26" s="5" t="s">
        <v>90</v>
      </c>
      <c r="J26" s="5" t="s">
        <v>1272</v>
      </c>
      <c r="K26" s="5"/>
      <c r="L26" s="5" t="s">
        <v>95</v>
      </c>
      <c r="M26" s="5"/>
      <c r="N26" s="5"/>
      <c r="O26" s="5"/>
      <c r="P26" s="5"/>
    </row>
    <row r="27" customFormat="false" ht="27.75" hidden="false" customHeight="true" outlineLevel="0" collapsed="false">
      <c r="A27" s="5" t="s">
        <v>2605</v>
      </c>
      <c r="B27" s="5" t="s">
        <v>175</v>
      </c>
      <c r="C27" s="5" t="s">
        <v>104</v>
      </c>
      <c r="D27" s="5" t="s">
        <v>2606</v>
      </c>
      <c r="E27" s="5" t="s">
        <v>296</v>
      </c>
      <c r="F27" s="5" t="s">
        <v>296</v>
      </c>
      <c r="G27" s="5" t="s">
        <v>2607</v>
      </c>
      <c r="H27" s="5" t="s">
        <v>2608</v>
      </c>
      <c r="I27" s="5" t="s">
        <v>90</v>
      </c>
      <c r="J27" s="5" t="s">
        <v>2609</v>
      </c>
      <c r="K27" s="5"/>
      <c r="L27" s="5" t="s">
        <v>95</v>
      </c>
      <c r="M27" s="5"/>
      <c r="N27" s="5"/>
      <c r="O27" s="5"/>
      <c r="P27" s="5"/>
    </row>
    <row r="28" customFormat="false" ht="27.75" hidden="false" customHeight="true" outlineLevel="0" collapsed="false">
      <c r="A28" s="5" t="s">
        <v>2610</v>
      </c>
      <c r="B28" s="5" t="s">
        <v>175</v>
      </c>
      <c r="C28" s="5" t="s">
        <v>104</v>
      </c>
      <c r="D28" s="5" t="s">
        <v>2611</v>
      </c>
      <c r="E28" s="5" t="s">
        <v>672</v>
      </c>
      <c r="F28" s="5" t="s">
        <v>296</v>
      </c>
      <c r="G28" s="5" t="s">
        <v>2612</v>
      </c>
      <c r="H28" s="5" t="s">
        <v>2613</v>
      </c>
      <c r="I28" s="5" t="s">
        <v>90</v>
      </c>
      <c r="J28" s="5" t="s">
        <v>2609</v>
      </c>
      <c r="K28" s="5"/>
      <c r="L28" s="5" t="s">
        <v>95</v>
      </c>
      <c r="M28" s="5"/>
      <c r="N28" s="5"/>
      <c r="O28" s="5"/>
      <c r="P28" s="5"/>
    </row>
    <row r="29" customFormat="false" ht="27.75" hidden="false" customHeight="true" outlineLevel="0" collapsed="false">
      <c r="A29" s="5" t="s">
        <v>2614</v>
      </c>
      <c r="B29" s="5" t="s">
        <v>175</v>
      </c>
      <c r="C29" s="5" t="s">
        <v>104</v>
      </c>
      <c r="D29" s="5" t="s">
        <v>2615</v>
      </c>
      <c r="E29" s="5" t="s">
        <v>296</v>
      </c>
      <c r="F29" s="5" t="s">
        <v>296</v>
      </c>
      <c r="G29" s="5" t="s">
        <v>2616</v>
      </c>
      <c r="H29" s="5" t="s">
        <v>2617</v>
      </c>
      <c r="I29" s="5" t="s">
        <v>90</v>
      </c>
      <c r="J29" s="5" t="s">
        <v>2609</v>
      </c>
      <c r="K29" s="5"/>
      <c r="L29" s="5" t="s">
        <v>95</v>
      </c>
      <c r="M29" s="5"/>
      <c r="N29" s="5"/>
      <c r="O29" s="5"/>
      <c r="P29" s="5"/>
    </row>
    <row r="30" customFormat="false" ht="27.75" hidden="false" customHeight="true" outlineLevel="0" collapsed="false">
      <c r="A30" s="5" t="s">
        <v>2618</v>
      </c>
      <c r="B30" s="5" t="s">
        <v>176</v>
      </c>
      <c r="C30" s="5" t="s">
        <v>104</v>
      </c>
      <c r="D30" s="5" t="s">
        <v>2619</v>
      </c>
      <c r="E30" s="5" t="s">
        <v>296</v>
      </c>
      <c r="F30" s="5" t="s">
        <v>2620</v>
      </c>
      <c r="G30" s="5" t="s">
        <v>2621</v>
      </c>
      <c r="H30" s="5" t="s">
        <v>2622</v>
      </c>
      <c r="I30" s="5" t="s">
        <v>89</v>
      </c>
      <c r="J30" s="5" t="s">
        <v>2623</v>
      </c>
      <c r="K30" s="5"/>
      <c r="L30" s="5" t="s">
        <v>95</v>
      </c>
      <c r="M30" s="5"/>
      <c r="N30" s="5"/>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2026-10-29T15:01:09Z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