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<sst xmlns="http://schemas.openxmlformats.org/spreadsheetml/2006/main" count="6791" uniqueCount="2932">
  <si>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</si>
  <si>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</si>
  <si>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</si>
  <si>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</si>
  <si>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</si>
  <si>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</si>
  <si>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</si>
  <si>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</si>
  <si>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</si>
  <si>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</si>
  <si>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</si>
  <si>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</si>
  <si>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</si>
  <si>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</si>
  <si>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</si>
  <si>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</si>
  <si>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</si>
  <si>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</si>
  <si>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</si>
  <si>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</si>
  <si>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</si>
  <si>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</si>
  <si>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</si>
  <si>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</si>
  <si>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</si>
  <si>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</si>
  <si>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</si>
  <si>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</si>
  <si>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</si>
  <si>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</si>
  <si>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</si>
  <si>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</si>
  <si>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</si>
  <si>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</si>
  <si>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</si>
  <si>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</si>
  <si>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</si>
  <si>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</si>
  <si>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</si>
  <si>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</si>
  <si>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</si>
  <si>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</si>
  <si>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</si>
  <si>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</si>
  <si>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</si>
  <si>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</si>
  <si>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</si>
  <si>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</si>
  <si>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</si>
  <si>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</si>
  <si>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</si>
  <si>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</si>
  <si>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</si>
  <si>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</si>
  <si>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</si>
  <si>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</si>
  <si>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</si>
  <si>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</si>
  <si>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</si>
  <si>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</si>
  <si>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</si>
  <si>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</si>
  <si>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</si>
  <si>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</si>
  <si>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</si>
  <si>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</si>
  <si>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</si>
  <si>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</si>
  <si>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</si>
  <si>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</si>
  <si>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</si>
  <si>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</si>
  <si>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</si>
  <si>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</si>
  <si>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</si>
  <si>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</si>
  <si>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</si>
  <si>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</si>
  <si>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</si>
  <si>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</si>
  <si>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</si>
  <si>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</si>
  <si>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</si>
  <si>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</si>
  <si>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</si>
  <si>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</si>
  <si>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main @ 62caea1 (+ sửa BUG-11 chưa commit)</t>
  </si>
  <si>
    <t xml:space="preserve">P1 lượt 1 – Bảo mật &amp; quy tắc trạng thái</t>
  </si>
  <si>
    <t xml:space="preserve">22 TC</t>
  </si>
  <si>
    <t xml:space="preserve">22 Pass</t>
  </si>
  <si>
    <t xml:space="preserve">BUG-11 (body &gt; 1MB trả 500) phát hiện và sửa trong lượt, retest Pass. OBS-01: refresh đồng thời cùng token đều thành công. TC-S53-003 cần sửa tiền điều kiện</t>
  </si>
  <si>
    <t xml:space="preserve">fix/qa-round-p1 @ af41972 (+ sửa BUG-12 chưa commit)</t>
  </si>
  <si>
    <t xml:space="preserve">P1 lượt 2 – Ứng viên</t>
  </si>
  <si>
    <t xml:space="preserve">31 TC</t>
  </si>
  <si>
    <t xml:space="preserve">31 Pass</t>
  </si>
  <si>
    <t xml:space="preserve">BUG-12 (API nhận ngày sinh tương lai) phát hiện và sửa trong lượt. Q-02: chưa hỗ trợ tìm không dấu. Ghi chú: ảnh đại diện quá 2MB báo câu chung; phân trang giao diện cần thêm dữ liệu</t>
  </si>
  <si>
    <t xml:space="preserve">30/10/2026</t>
  </si>
  <si>
    <t xml:space="preserve">fix/qa-round-p1 @ 1a0a377 (+ Q-02, BUG-13 chưa commit)</t>
  </si>
  <si>
    <t xml:space="preserve">P1 lượt 3 – Nhà tuyển dụng + Admin</t>
  </si>
  <si>
    <t xml:space="preserve">37/37 TC</t>
  </si>
  <si>
    <t xml:space="preserve">37 Pass</t>
  </si>
  <si>
    <t xml:space="preserve">BUG-13 (câu báo file quá dung lượng chung chung) và Q-02 (tìm không dấu) đã làm, retest Pass. EMP05-006 dùng dữ liệu giả lập quá hạn (qa-tin-het-han.cmd); EMP05-007/011 dùng tin #2010 tự hết hạn qua đêm</t>
  </si>
  <si>
    <t xml:space="preserve">main @ a0c1341 + fix/qa-round4 (BUG-14, BUG-15)</t>
  </si>
  <si>
    <t xml:space="preserve">P1 lượt 4</t>
  </si>
  <si>
    <t xml:space="preserve">25 TC (AUTH, CAN06/10/18, REL, UI, PERF, COMP)</t>
  </si>
  <si>
    <t xml:space="preserve">22 Pass / 3 Blocked</t>
  </si>
  <si>
    <t xml:space="preserve">BUG-14 (500 khi để trống ô chọn – High) và BUG-15 sửa + retest. TC-AUTH04-005 chưa chạy: cần link đặt lại &gt; 30 phút. Dữ liệu: tạo qa.uv64; alert test đã xoá</t>
  </si>
  <si>
    <t xml:space="preserve">fix/qa-round4 @ 4ce2926 + BUG-16 (chưa commit lúc chạy)</t>
  </si>
  <si>
    <t xml:space="preserve">Tự động</t>
  </si>
  <si>
    <t xml:space="preserve">API unit test · E2E · web lint · web build (scripts/chay-test-tu-dong.cmd)</t>
  </si>
  <si>
    <t xml:space="preserve">Unit 29 suite / 163 test Pass; E2E 11/11 Pass; lint 0 lỗi (10 cảnh báo react-refresh có sẵn); vite build OK</t>
  </si>
  <si>
    <t xml:space="preserve">Smoke (regression)</t>
  </si>
  <si>
    <t xml:space="preserve">"ReactJS" → 1 việc làm "Lập trình viên ReactJS"</t>
  </si>
  <si>
    <t xml:space="preserve">2. Đăng nhập uv1, ntd1, admin, qa.ntd13</t>
  </si>
  <si>
    <t xml:space="preserve">Đăng nhập trên giao diện và qua API đều 200</t>
  </si>
  <si>
    <t xml:space="preserve">Tin #3005 "QA Regression 30/10", CV cv-chrome.pdf + thư → đơn #2004 Đã nộp; ứng tuyển lại → 409 "Bạn đã ứng tuyển vị trí này rồi" (CAN07-001, CAN07-005)</t>
  </si>
  <si>
    <t xml:space="preserve">Đơn #2004 VIEWED → SHORTLISTED; uv1 nhận "Hồ sơ của bạn được đánh giá phù hợp"; ntd1 nhận "Có ứng viên mới"</t>
  </si>
  <si>
    <t xml:space="preserve">Đăng tin trên giao diện, Tỉnh/thành để trống → 201 PENDING (locationId null); admin duyệt → APPROVED, tìm thấy công khai; ntd1 nhận "Tin tuyển dụng đã được duyệt" (EMP03-001, ADM03-001)</t>
  </si>
  <si>
    <t xml:space="preserve">Regression P0</t>
  </si>
  <si>
    <t xml:space="preserve">EMP03-003/006/008/009 – kiểm tra form đăng tin</t>
  </si>
  <si>
    <t xml:space="preserve">Trống → lỗi tại ô (chức danh, lương, ngành, mô tả); lương 20–10 → "Lương tối đa phải lớn hơn lương tối thiểu"; hạn hôm qua → "Hạn nộp phải từ hôm nay trở đi"; +91 ngày → "Hạn nộp tối đa 90 ngày kể từ hôm nay"; +90 ngày gửi được</t>
  </si>
  <si>
    <t xml:space="preserve">EMP03-002 + API ô trống (BUG-14)</t>
  </si>
  <si>
    <t xml:space="preserve">Nháp qua API với salaryMin/salaryMax/locationId = '' → 201 DRAFT, giá trị null; salaryMin 'abc' → 400</t>
  </si>
  <si>
    <t xml:space="preserve">EMP01-001/002/005, EMP03-012 – công ty</t>
  </si>
  <si>
    <t xml:space="preserve">qa.ntd13 (mới, chưa có công ty): /employer/jobs/new hướng dẫn tạo hồ sơ công ty, API tạo tin 403; tên trống → "Vui lòng nhập tên công ty"; tạo "QA Company 13" không chọn tỉnh → 201, OWNER, có link công khai. ntd1 sửa địa chỉ → trang công khai cập nhật; PATCH locationId '' → 200 (null). Đã khôi phục địa chỉ và Hà Nội</t>
  </si>
  <si>
    <t xml:space="preserve">ADM03-002/003 – từ chối tin</t>
  </si>
  <si>
    <t xml:space="preserve">Lý do trống → 400 "Vui lòng nhập lý do"; từ chối #3006 có lý do → REJECTED, NTD thấy lý do và nhận "Tin tuyển dụng bị từ chối"</t>
  </si>
  <si>
    <t xml:space="preserve">CAN05-001/004/005/006 – tìm &amp; lọc</t>
  </si>
  <si>
    <t xml:space="preserve">Hà Nội 7/11 tin đều Hà Nội; CNTT + Toàn thời gian 2 tin đúng loại; lọc lương ≥ 15 triệu giữ tin thoả thuận và tin có lương tối đa ≥ 15 triệu theo thiết kế</t>
  </si>
  <si>
    <t xml:space="preserve">BUG-16 (Medium) Cache dữ liệu phiên trước</t>
  </si>
  <si>
    <t xml:space="preserve">Đăng xuất ntd1 rồi đăng nhập qa.ntd13 trong vòng 60 giây: /employer/jobs/new vẫn hiện form đăng tin vì dùng /employer/me đã cache của ntd1. Sửa AuthContext xoá cache khi đăng nhập/đăng xuất/hết phiên/bị khoá; chạy lại cùng chuỗi thao tác → hiện ngay hướng dẫn tạo công ty</t>
  </si>
  <si>
    <t xml:space="preserve">P1 còn lại</t>
  </si>
  <si>
    <t xml:space="preserve">TC-AUTH04-005</t>
  </si>
  <si>
    <t xml:space="preserve">P1: 169 Pass / 3 Blocked / 0 chưa chạy</t>
  </si>
  <si>
    <t xml:space="preserve">main @ cc07e22 + BUG-17, BUG-18 (sửa trong lượt)</t>
  </si>
  <si>
    <t xml:space="preserve">P2 lượt 1</t>
  </si>
  <si>
    <t xml:space="preserve">Ứng viên + AUTH (36 TC)</t>
  </si>
  <si>
    <t xml:space="preserve">33 Pass / 3 Skip</t>
  </si>
  <si>
    <t xml:space="preserve">3 TC AI bỏ qua theo yêu cầu (chưa có ANTHROPIC_API_KEY). BUG-17 (tắt thông báo việc làm 400) và BUG-18 (API tắt → trang tin báo không tìm thấy) sửa + retest. OBS-02: một số câu lỗi API tiếng Anh khi gọi trực tiếp</t>
  </si>
  <si>
    <t xml:space="preserve">fix/qa-p2-luot1 @ dc300fc</t>
  </si>
  <si>
    <t xml:space="preserve">P2 lượt 2</t>
  </si>
  <si>
    <t xml:space="preserve">Nhà tuyển dụng (40 TC)</t>
  </si>
  <si>
    <t xml:space="preserve">40/40 Pass</t>
  </si>
  <si>
    <t xml:space="preserve">Không có lỗi app mới. 2 lần khởi động lại API + 2 script dữ liệu (qa-p2-ntd.cmd, qa-p2-ntd-2.cmd). Thay ntd3 bằng qa.ntd02 / qa.ntd14 ở EMP11-015/016 để giữ dữ liệu demo</t>
  </si>
  <si>
    <t xml:space="preserve">fix/qa-p2-luot1 @ ad14788 + BUG-19, BUG-20</t>
  </si>
  <si>
    <t xml:space="preserve">P2 lượt 3</t>
  </si>
  <si>
    <t xml:space="preserve">Admin + Hỗ trợ + Phi chức năng (44 TC)</t>
  </si>
  <si>
    <t xml:space="preserve">43 Pass / 1 Blocked</t>
  </si>
  <si>
    <t xml:space="preserve">BUG-19 (trợ lý trả lời sai chủ đề) và BUG-20 (phân trang thiếu nhãn ARIA) sửa + retest. Script mới: qa-backup-restore.cmd, qa-prod-swagger.cmd. PERF-002 Blocked (cần build production + Lighthouse)</t>
  </si>
  <si>
    <t xml:space="preserve">feat/ai-ollama @ b31497e + sửa timeout/CV dài (AI_PROVIDER=ollama, qwen2.5:7b)</t>
  </si>
  <si>
    <t xml:space="preserve">AI trên máy (Ollama)</t>
  </si>
  <si>
    <t xml:space="preserve">CAN13-005/007/008 + kiểm tra 4 tính năng AI</t>
  </si>
  <si>
    <t xml:space="preserve">3/3 Pass</t>
  </si>
  <si>
    <t xml:space="preserve">AI_PROVIDER=ollama, qwen2.5:7b. Trợ lý hỗ trợ ~46 s; nhận xét gợi ý ~101 s; kiểm tra CV ~138 s (source AI, 85%); chấm CV ~98 s (source AI, 50 điểm + câu hỏi phỏng vấn). Lần đầu gọi song song 3 yêu cầu → kiểm tra CV và chấm CV quá hạn 120 s, quay về so khớp từ khoá – đã tăng thời gian chờ mặc định lên 300 s, cắt CV gửi mô hình còn 8.000 ký tự, đổi chuỗi "null" thành null</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</si>
  <si>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</si>
  <si>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</si>
  <si>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</si>
  <si>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</si>
  <si>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</si>
  <si>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</si>
  <si>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</si>
  <si>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</si>
  <si>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</si>
  <si>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</si>
  <si>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</si>
  <si>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</si>
  <si>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</si>
  <si>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</si>
  <si>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</si>
  <si>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</si>
  <si>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</si>
  <si>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</si>
  <si>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</si>
  <si>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</si>
  <si>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</si>
  <si>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</si>
  <si>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</si>
  <si>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</si>
  <si>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</si>
  <si>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</si>
  <si>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</si>
  <si>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</si>
  <si>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</si>
  <si>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</si>
  <si>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</si>
  <si>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</si>
  <si>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</si>
  <si>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</si>
  <si>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</si>
  <si>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</si>
  <si>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</si>
  <si>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</si>
  <si>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</si>
  <si>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</si>
  <si>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</si>
  <si>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</si>
  <si>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</si>
  <si>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</si>
  <si>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</si>
  <si>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</si>
  <si>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</si>
  <si>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</si>
  <si>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</si>
  <si>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</si>
  <si>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</si>
  <si>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</si>
  <si>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</si>
  <si>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</si>
  <si>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</si>
  <si>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</si>
  <si>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</si>
  <si>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</si>
  <si>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</si>
  <si>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</si>
  <si>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</si>
  <si>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</si>
  <si>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</si>
  <si>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</si>
  <si>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</si>
  <si>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</si>
  <si>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</si>
  <si>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</si>
  <si>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</si>
  <si>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</si>
  <si>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</si>
  <si>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</si>
  <si>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</si>
  <si>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</si>
  <si>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</si>
  <si>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</si>
  <si>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</si>
  <si>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</si>
  <si>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</si>
  <si>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</si>
  <si>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</si>
  <si>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</si>
  <si>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</si>
  <si>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</si>
  <si>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</si>
  <si>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</si>
  <si>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</si>
  <si>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</si>
  <si>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</si>
  <si>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</si>
  <si>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</si>
  <si>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</si>
  <si>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</si>
  <si>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</si>
  <si>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</si>
  <si>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</si>
  <si>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</si>
  <si>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</si>
  <si>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</si>
  <si>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</si>
  <si>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</si>
  <si>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</si>
  <si>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</si>
  <si>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</si>
  <si>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</si>
  <si>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</si>
  <si>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</si>
  <si>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</si>
  <si>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</si>
  <si>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</si>
  <si>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</si>
  <si>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</si>
  <si>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</si>
  <si>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</si>
  <si>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</si>
  <si>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</si>
  <si>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</si>
  <si>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</si>
  <si>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</si>
  <si>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</si>
  <si>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</si>
  <si>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</si>
  <si>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</si>
  <si>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</si>
  <si>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</si>
  <si>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</si>
  <si>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</si>
  <si>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</si>
  <si>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</si>
  <si>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</si>
  <si>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</si>
  <si>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</si>
  <si>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</si>
  <si>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</si>
  <si>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</si>
  <si>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</si>
  <si>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</si>
  <si>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</si>
  <si>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</si>
  <si>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Đăng ký UV1@Demo.Local → 409 "Email này đã được đăng ký" (so khớp không phân biệt hoa thường)</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</si>
  <si>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</si>
  <si>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</si>
  <si>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</si>
  <si>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</si>
  <si>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</si>
  <si>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</si>
  <si>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</si>
  <si>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</si>
  <si>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</si>
  <si>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</si>
  <si>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</si>
  <si>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</si>
  <si>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</si>
  <si>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</si>
  <si>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</si>
  <si>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</si>
  <si>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</si>
  <si>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</si>
  <si>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</si>
  <si>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</si>
  <si>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</si>
  <si>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</si>
  <si>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</si>
  <si>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</si>
  <si>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</si>
  <si>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</si>
  <si>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</si>
  <si>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</si>
  <si>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</si>
  <si>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</si>
  <si>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Mật khẩu 64 ký tự → đăng ký qa.uv64@test.local 201; đăng nhập 200</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</si>
  <si>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</si>
  <si>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</si>
  <si>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</si>
  <si>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</si>
  <si>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</si>
  <si>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Mật khẩu 65 ký tự → 400 "Mật khẩu 8–64 ký tự, gồm cả chữ và số"</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</si>
  <si>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</si>
  <si>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</si>
  <si>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</si>
  <si>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</si>
  <si>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</si>
  <si>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</si>
  <si>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</si>
  <si>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</si>
  <si>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</si>
  <si>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</si>
  <si>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</si>
  <si>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</si>
  <si>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6 yêu cầu đăng ký liên tiếp (dữ liệu sai để không tạo tài khoản): 1–5 → 400, lần 6 → 429 "Bạn thao tác quá nhanh, vui lòng thử lại sau 60 giây"</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</si>
  <si>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</si>
  <si>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</si>
  <si>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</si>
  <si>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</si>
  <si>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</si>
  <si>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</si>
  <si>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</si>
  <si>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</si>
  <si>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</si>
  <si>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</si>
  <si>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</si>
  <si>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</si>
  <si>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</si>
  <si>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</si>
  <si>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</si>
  <si>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</si>
  <si>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</si>
  <si>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</si>
  <si>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</si>
  <si>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</si>
  <si>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</si>
  <si>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</si>
  <si>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</si>
  <si>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</si>
  <si>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</si>
  <si>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</si>
  <si>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</si>
  <si>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</si>
  <si>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</si>
  <si>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</si>
  <si>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</si>
  <si>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</si>
  <si>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</si>
  <si>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</si>
  <si>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</si>
  <si>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</si>
  <si>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</si>
  <si>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</si>
  <si>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</si>
  <si>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</si>
  <si>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</si>
  <si>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</si>
  <si>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</si>
  <si>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</si>
  <si>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</si>
  <si>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</si>
  <si>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</si>
  <si>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</si>
  <si>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</si>
  <si>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</si>
  <si>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</si>
  <si>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</si>
  <si>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</si>
  <si>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</si>
  <si>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Sau đăng xuất mở /candidate/applications → chuyển /login (giữ from); đăng nhập uv1 → quay về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</si>
  <si>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</si>
  <si>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</si>
  <si>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</si>
  <si>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</si>
  <si>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</si>
  <si>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11 lần đăng nhập sai qa.uv07: 1–10 → 401 "Email hoặc mật khẩu không đúng", lần 11 → 429 "…thử lại sau 60 giây"</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</si>
  <si>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</si>
  <si>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</si>
  <si>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</si>
  <si>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</si>
  <si>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</si>
  <si>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</si>
  <si>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</si>
  <si>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</si>
  <si>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</si>
  <si>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</si>
  <si>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</si>
  <si>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</si>
  <si>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</si>
  <si>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</si>
  <si>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</si>
  <si>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</si>
  <si>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</si>
  <si>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</si>
  <si>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</si>
  <si>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</si>
  <si>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</si>
  <si>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</si>
  <si>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</si>
  <si>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</si>
  <si>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Token VERIFY_EMAIL của qa.ntd12 đặt hết hạn trong DB → mở link: POST /auth/verify-email 400 "Link xác minh không hợp lệ hoặc đã hết hạn". Ban đầu thiếu gợi ý gửi lại (BUG-15); sau sửa: khách thấy "Đăng nhập để gửi lại link xác minh mới.", người đã đăng nhập có nút "Gửi lại link xác minh"</t>
  </si>
  <si>
    <t xml:space="preserve">BUG-15</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</si>
  <si>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</si>
  <si>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</si>
  <si>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</si>
  <si>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</si>
  <si>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</si>
  <si>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qa.ntd11 (chưa xác minh) bấm "Gửi lại email" ở banner → 200 "Đã gửi lại email xác minh"; email mới #20004 trong /admin/emails. Theo thiết kế link cũ bị huỷ (issueUserToken đánh dấu token cũ đã dùng)</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</si>
  <si>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</si>
  <si>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</si>
  <si>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</si>
  <si>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</si>
  <si>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</si>
  <si>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qa.ntd11 (chưa xác minh) gửi lại xác minh 4 lần: 1–3 → 200 "Đã gửi lại email xác minh", lần 4 → 429 "…thử lại sau 300 giây"</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</si>
  <si>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</si>
  <si>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</si>
  <si>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</si>
  <si>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</si>
  <si>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</si>
  <si>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</si>
  <si>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</si>
  <si>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</si>
  <si>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</si>
  <si>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</si>
  <si>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</si>
  <si>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</si>
  <si>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</si>
  <si>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</si>
  <si>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</si>
  <si>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</si>
  <si>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</si>
  <si>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</si>
  <si>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</si>
  <si>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</si>
  <si>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</si>
  <si>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</si>
  <si>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</si>
  <si>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</si>
  <si>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</si>
  <si>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Link đặt lại quá 30 phút</t>
  </si>
  <si>
    <t xml:space="preserve">Có link &gt; 30 phút (giả lập trong DB)</t>
  </si>
  <si>
    <t xml:space="preserve">1. Mở link, nhập mật khẩu mới</t>
  </si>
  <si>
    <t xml:space="preserve">Báo link hết hạn</t>
  </si>
  <si>
    <t xml:space="preserve">Link đặt lại mật khẩu mới nhất của uv2 (email #20008, chưa dùng, gửi ~3 giờ trước) → nhập mật khẩu mới → POST /auth/reset-password 400, trang báo "Link đặt lại mật khẩu không hợp lệ hoặc đã hết hạn"; mật khẩu uv2 không đổi</t>
  </si>
  <si>
    <t xml:space="preserve">TC-AUTH04-006</t>
  </si>
  <si>
    <t xml:space="preserve">Giới hạn quên mật khẩu 3 lần / 5 phút</t>
  </si>
  <si>
    <t xml:space="preserve">1. Gửi yêu cầu quên mật khẩu 4 lần trong 5 phút</t>
  </si>
  <si>
    <t xml:space="preserve">Quên mật khẩu uv2@demo.local 4 lần: 1–3 → 200, lần 4 → 429 "Bạn thao tác quá nhanh, vui lòng thử lại sau 300 giây"</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</si>
  <si>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</si>
  <si>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</si>
  <si>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</si>
  <si>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</si>
  <si>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</si>
  <si>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</si>
  <si>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</si>
  <si>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</si>
  <si>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</si>
  <si>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</si>
  <si>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</si>
  <si>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</si>
  <si>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</si>
  <si>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</si>
  <si>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</si>
  <si>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</si>
  <si>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</si>
  <si>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</si>
  <si>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qa.uv02 đổi mật khẩu với MK mới = MK hiện tại → 400 "Mật khẩu mới phải khác mật khẩu hiện tại" (dùng tài khoản QA thay uv1)</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</si>
  <si>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</si>
  <si>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</si>
  <si>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</si>
  <si>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</si>
  <si>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</si>
  <si>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</si>
  <si>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</si>
  <si>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</si>
  <si>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</si>
  <si>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</si>
  <si>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</si>
  <si>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Phiên A (cookie trình duyệt của qa.uv02) làm mới được (200) → đặt lại mật khẩu bằng link email → "Đặt lại mật khẩu thành công…" → phiên A làm mới ngay → 401 "Phiên đăng nhập không hợp lệ…" (không cần đợi 15 phút; access token cũ tự hết hạn ≤15 phút). Mật khẩu QA đã trả về Qa123456</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</si>
  <si>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</si>
  <si>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</si>
  <si>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</si>
  <si>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</si>
  <si>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</si>
  <si>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</si>
  <si>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Gửi refresh A, 15–50ms sau gửi refresh B cùng cookie cũ → A 200 (xoay vòng), B 401 "Phiên đăng nhập không hợp lệ, vui lòng đăng nhập lại" (phát hiện dùng lại). Việc thu hồi mọi phiên khi phát hiện được unit test auth.service.spec kiểm. Ghi chú: 2 refresh gửi đúng cùng lúc với cùng token thì đều 200 (đọc–rồi–thu hồi không nguyên tử) – xem OBS-01 trong bug report</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</si>
  <si>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</si>
  <si>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</si>
  <si>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</si>
  <si>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</si>
  <si>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</si>
  <si>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</si>
  <si>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</si>
  <si>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</si>
  <si>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</si>
  <si>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</si>
  <si>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</si>
  <si>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</si>
  <si>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</si>
  <si>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</si>
  <si>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</si>
  <si>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</si>
  <si>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</si>
  <si>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</si>
  <si>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</si>
  <si>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uv2 bị khoá → đăng nhập 403; admin mở khoá → đăng nhập 200 (uv2@demo.local)</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</si>
  <si>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</si>
  <si>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</si>
  <si>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</si>
  <si>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</si>
  <si>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</si>
  <si>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</si>
  <si>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</si>
  <si>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</si>
  <si>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</si>
  <si>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</si>
  <si>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</si>
  <si>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</si>
  <si>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</si>
  <si>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</si>
  <si>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</si>
  <si>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</si>
  <si>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</si>
  <si>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</si>
  <si>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SĐT "12ab" và "1234567" → lỗi tại ô "Số điện thoại không hợp lệ", không lưu; API cũng trả 400 cùng thông điệp (dùng qa.uv02 thay uv1)</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</si>
  <si>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</si>
  <si>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</si>
  <si>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</si>
  <si>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</si>
  <si>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</si>
  <si>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Ô Họ tên có maxlength 150 (không gõ được ký tự 151); API: 150 ký tự → 200, 151 → 400. Ghi nhận OBS-02: câu lỗi API bằng tiếng Anh. Đã khôi phục tên uv1</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</si>
  <si>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</si>
  <si>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</si>
  <si>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</si>
  <si>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</si>
  <si>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</si>
  <si>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Giao diện: ngày sinh ngày mai → "Ngày sinh không hợp lệ". Lần đầu API vẫn nhận ngày sinh tương lai (PATCH trả 200, lưu 2026-10-30) – BUG-12; đã sửa DTO, retest API: ngày mai và 1939-12-31 → 400 "Ngày sinh không hợp lệ", 2000-05-20 → 200; sai định dạng 31/12/2000 → "Ngày phải có dạng YYYY-MM-DD"</t>
  </si>
  <si>
    <t xml:space="preserve">BUG-12</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</si>
  <si>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</si>
  <si>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</si>
  <si>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</si>
  <si>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</si>
  <si>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</si>
  <si>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Tải PNG 480KB → toast "Đã cập nhật ảnh đại diện", ảnh hiện ở thẻ hồ sơ (/api/uploads/public/avatars/…png). Header hiển thị tên "Ứng viên: …" chứ không có ảnh (đúng thiết kế) – đề xuất sửa TC</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</si>
  <si>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</si>
  <si>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</si>
  <si>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</si>
  <si>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</si>
  <si>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</si>
  <si>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JPG 2,1MB → 413, trang hiện "Dữ liệu / file vượt quá dung lượng cho phép"; ảnh cũ giữ nguyên. Ghi chú: câu thông báo chưa nêu giới hạn 2MB như TC ("File tối đa 2MB") – CV có kiểm tra phía web, ảnh đại diện thì chưa</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</si>
  <si>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</si>
  <si>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</si>
  <si>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</si>
  <si>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</si>
  <si>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</si>
  <si>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Ô chọn file accept JPG/PNG/WEBP; ép GIF → "Chỉ chấp nhận ảnh JPG, PNG hoặc WEBP"; file .exe đổi đuôi .png → 400 "Nội dung file không đúng định dạng"; ảnh cũ giữ nguyên</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</si>
  <si>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</si>
  <si>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</si>
  <si>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</si>
  <si>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</si>
  <si>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</si>
  <si>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</si>
  <si>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</si>
  <si>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</si>
  <si>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</si>
  <si>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</si>
  <si>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</si>
  <si>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</si>
  <si>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</si>
  <si>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</si>
  <si>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</si>
  <si>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</si>
  <si>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</si>
  <si>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Sửa vị trí "Kế toán viên" → "Kế toán tổng hợp" → Lưu → danh sách cập nhật; Xóa kinh nghiệm "Thực tập kế toán" (xác nhận) → biến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</si>
  <si>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</si>
  <si>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</si>
  <si>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</si>
  <si>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</si>
  <si>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</si>
  <si>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</si>
  <si>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</si>
  <si>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</si>
  <si>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</si>
  <si>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</si>
  <si>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</si>
  <si>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</si>
  <si>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</si>
  <si>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</si>
  <si>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</si>
  <si>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</si>
  <si>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</si>
  <si>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API: 30 kỹ năng → 200; 31 → 400 "Tối đa 30 kỹ năng". Giao diện khi đã có 30, bấm thêm "+ Spring Boot" → hiện "Tối đa 30 kỹ năng", vẫn 30. Đã trả về 3 kỹ năng cũ</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</si>
  <si>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</si>
  <si>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</si>
  <si>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</si>
  <si>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</si>
  <si>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</si>
  <si>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</si>
  <si>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</si>
  <si>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</si>
  <si>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</si>
  <si>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</si>
  <si>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</si>
  <si>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</si>
  <si>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</si>
  <si>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</si>
  <si>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</si>
  <si>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</si>
  <si>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</si>
  <si>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</si>
  <si>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</si>
  <si>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</si>
  <si>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</si>
  <si>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</si>
  <si>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</si>
  <si>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</si>
  <si>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</si>
  <si>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</si>
  <si>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</si>
  <si>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</si>
  <si>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</si>
  <si>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</si>
  <si>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</si>
  <si>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</si>
  <si>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</si>
  <si>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</si>
  <si>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</si>
  <si>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</si>
  <si>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</si>
  <si>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</si>
  <si>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</si>
  <si>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</si>
  <si>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</si>
  <si>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</si>
  <si>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</si>
  <si>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</si>
  <si>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Bấm "Đặt mặc định" ở cv-qa-5.pdf → nhãn Mặc định chuyển sang CV này; mở form ứng tuyển tin Digital Marketing → CV này được chọn sẵn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</si>
  <si>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</si>
  <si>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</si>
  <si>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</si>
  <si>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</si>
  <si>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</si>
  <si>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</si>
  <si>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</si>
  <si>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</si>
  <si>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</si>
  <si>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</si>
  <si>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</si>
  <si>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</si>
  <si>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</si>
  <si>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</si>
  <si>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</si>
  <si>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</si>
  <si>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</si>
  <si>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Admin đặt "Số CV / ứng viên" = 2 → qa.uv02 (đang có 3 CV) tải thêm → 400 "Bạn chỉ được lưu tối đa 2 CV". Đã trả cấu hình về 5</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</si>
  <si>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</si>
  <si>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</si>
  <si>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</si>
  <si>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</si>
  <si>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</si>
  <si>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qa.uv02 bật công tắc "Cho phép NTD tìm thấy hồ sơ" trên giao diện → isPublic=true; ntd1 tìm "Excel" ở /employer/candidates → thấy "QA Ứng viên 02 Sửa". Đã tắt lại</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</si>
  <si>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</si>
  <si>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</si>
  <si>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</si>
  <si>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</si>
  <si>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</si>
  <si>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</si>
  <si>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</si>
  <si>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</si>
  <si>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</si>
  <si>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</si>
  <si>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</si>
  <si>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</si>
  <si>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</si>
  <si>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</si>
  <si>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</si>
  <si>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</si>
  <si>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</si>
  <si>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</si>
  <si>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</si>
  <si>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"Sao Việt" → 5 tin của công ty Sao Việt; "TypeScript" → Lập trình viên ReactJS (tin yêu cầu TypeScript)</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</si>
  <si>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</si>
  <si>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</si>
  <si>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</si>
  <si>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</si>
  <si>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</si>
  <si>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</si>
  <si>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"ke toan" (không dấu) → 0 kết quả; "kế toán" → QA – Kế toán 01. Hệ thống chưa hỗ trợ tìm không dấu – ghi nhận Q-02 cho PO theo hướng dẫn của TC</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</si>
  <si>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</si>
  <si>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</si>
  <si>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</si>
  <si>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</si>
  <si>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</si>
  <si>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</si>
  <si>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</si>
  <si>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</si>
  <si>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</si>
  <si>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</si>
  <si>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</si>
  <si>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</si>
  <si>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</si>
  <si>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</si>
  <si>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</si>
  <si>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</si>
  <si>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</si>
  <si>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</si>
  <si>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</si>
  <si>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</si>
  <si>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</si>
  <si>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</si>
  <si>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</si>
  <si>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</si>
  <si>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</si>
  <si>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Mới nhất: tin nổi bật lên đầu, còn lại theo ngày đăng giảm dần; Lương cao nhất: 40 → 25 → 22 → 20 → 15tr → thỏa thuận (bỏ ưu tiên nổi bật); Phù hợp nhất + từ khoá "Lập trình": tin khớp tiêu đề trước. Đúng logic trong jobs.service</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</si>
  <si>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</si>
  <si>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</si>
  <si>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</si>
  <si>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</si>
  <si>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</si>
  <si>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API limit=5: trang 1 và 2 không trùng tin, totalPages 2. Giao diện chỉ có 1 trang do mới có 8 tin đang hiển thị nên chưa bấm được trang 2 / Back – cần thêm dữ liệu để kiểm phần giao diện</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</si>
  <si>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</si>
  <si>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</si>
  <si>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</si>
  <si>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</si>
  <si>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Mở /jobs?q=Developer&amp;locationId=1&amp;jobType=FULL_TIME&amp;sort=salary → ô tìm "Developer", Hà Nội, Toàn thời gian, Lương cao nhất được chọn sẵn; "Tìm thấy 1 việc làm": Backend Developer (NestJS)</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</si>
  <si>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</si>
  <si>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</si>
  <si>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</si>
  <si>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</si>
  <si>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</si>
  <si>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"zzzqqq" → "Tìm thấy 0 việc làm" + "Không có việc làm phù hợp. Thử bỏ bớt bộ lọc nhé."</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</si>
  <si>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</si>
  <si>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</si>
  <si>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</si>
  <si>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</si>
  <si>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</si>
  <si>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</si>
  <si>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</si>
  <si>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</si>
  <si>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</si>
  <si>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</si>
  <si>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</si>
  <si>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&lt;script&gt;alert(1)&lt;/script&gt; → 0 kết quả, không chạy script (chỉ hiện dạng chữ trong tiêu đề trang); ' OR 1=1 --, %, _, [a], \ → 200, 0 kết quả (ký tự đại diện LIKE được escape)</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</si>
  <si>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</si>
  <si>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</si>
  <si>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</si>
  <si>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</si>
  <si>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</si>
  <si>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</si>
  <si>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</si>
  <si>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</si>
  <si>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</si>
  <si>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</si>
  <si>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</si>
  <si>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Tin #2 Backend Developer (Hà Nội): /similar trả #1 (Hà Nội) rồi #3 (Đà Nẵng), không có #2; mục "Việc làm tương tự" trên trang hiện đúng thứ tự</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</si>
  <si>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</si>
  <si>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</si>
  <si>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</si>
  <si>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</si>
  <si>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</si>
  <si>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</si>
  <si>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</si>
  <si>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</si>
  <si>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</si>
  <si>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</si>
  <si>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</si>
  <si>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Lượt xem tin #2 ở trang NTD ntd1: 10 → mở chi tiết → 11</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</si>
  <si>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</si>
  <si>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</si>
  <si>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</si>
  <si>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</si>
  <si>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</si>
  <si>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Tin của Sao Việt (đã xác minh) có ✔ ở danh sách và chi tiết; tin #3007 của "QA Công ty chưa có MST" (UNVERIFIED) không có ✔</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</si>
  <si>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</si>
  <si>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</si>
  <si>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</si>
  <si>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</si>
  <si>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</si>
  <si>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</si>
  <si>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</si>
  <si>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</si>
  <si>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</si>
  <si>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</si>
  <si>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</si>
  <si>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</si>
  <si>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</si>
  <si>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</si>
  <si>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</si>
  <si>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</si>
  <si>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</si>
  <si>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</si>
  <si>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</si>
  <si>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</si>
  <si>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</si>
  <si>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</si>
  <si>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</si>
  <si>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</si>
  <si>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</si>
  <si>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</si>
  <si>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</si>
  <si>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</si>
  <si>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</si>
  <si>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</si>
  <si>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</si>
  <si>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</si>
  <si>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</si>
  <si>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</si>
  <si>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</si>
  <si>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</si>
  <si>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</si>
  <si>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</si>
  <si>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</si>
  <si>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</si>
  <si>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</si>
  <si>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</si>
  <si>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</si>
  <si>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</si>
  <si>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</si>
  <si>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</si>
  <si>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</si>
  <si>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</si>
  <si>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</si>
  <si>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</si>
  <si>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</si>
  <si>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</si>
  <si>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</si>
  <si>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</si>
  <si>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</si>
  <si>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</si>
  <si>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</si>
  <si>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</si>
  <si>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</si>
  <si>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</si>
  <si>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</si>
  <si>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</si>
  <si>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</si>
  <si>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</si>
  <si>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</si>
  <si>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</si>
  <si>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</si>
  <si>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</si>
  <si>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</si>
  <si>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</si>
  <si>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</si>
  <si>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</si>
  <si>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</si>
  <si>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</si>
  <si>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</si>
  <si>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qa.uv02 nộp đơn #1009 bằng cv-qa-5.pdf rồi xoá CV này → ntd2 vẫn mở đơn: resumeFileName cv-qa-5.pdf, link có chữ ký → 200 application/pdf 32.074 byte</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</si>
  <si>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</si>
  <si>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</si>
  <si>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</si>
  <si>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</si>
  <si>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</si>
  <si>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</si>
  <si>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Thư "&lt;script&gt;alert(1)&lt;/script&gt;&lt;b&gt;QA&lt;/b&gt;&lt;img src=x onerror=…&gt;" → lưu nguyên dạng chữ; trang chi tiết đơn của NTD hiển thị bằng {app.coverLetter} trong &lt;p&gt; (React tự escape, không dùng dangerouslySetInnerHTML) → không chạy script</t>
  </si>
  <si>
    <t xml:space="preserve">TC-CAN07-014</t>
  </si>
  <si>
    <t xml:space="preserve">Giới hạn 20 lần ứng tuyển / phút</t>
  </si>
  <si>
    <t xml:space="preserve">1. Gọi API ứng tuyển 21 lần trong 1 phút (các tin khác nhau)</t>
  </si>
  <si>
    <t xml:space="preserve">Lần 21 bị 429</t>
  </si>
  <si>
    <t xml:space="preserve">21 lần gọi API ứng tuyển liên tiếp (jobId không tồn tại để không tạo đơn): 1–20 → 404, lần 21 →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</si>
  <si>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</si>
  <si>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</si>
  <si>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</si>
  <si>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</si>
  <si>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</si>
  <si>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</si>
  <si>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</si>
  <si>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</si>
  <si>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</si>
  <si>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</si>
  <si>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</si>
  <si>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</si>
  <si>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</si>
  <si>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</si>
  <si>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</si>
  <si>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</si>
  <si>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</si>
  <si>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Đơn #1003 (Đã xem) và #1008 (Phù hợp): canWithdraw=true; rút → 200 WITHDRAWN cả hai</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</si>
  <si>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</si>
  <si>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</si>
  <si>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</si>
  <si>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</si>
  <si>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</si>
  <si>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</si>
  <si>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</si>
  <si>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</si>
  <si>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</si>
  <si>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</si>
  <si>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</si>
  <si>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</si>
  <si>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</si>
  <si>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</si>
  <si>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</si>
  <si>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</si>
  <si>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</si>
  <si>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</si>
  <si>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</si>
  <si>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</si>
  <si>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</si>
  <si>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</si>
  <si>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Bấm ♡ ở tin Thực tập sinh Tester → nút đổi "♥ Bỏ lưu"; /candidate/saved-jobs có tin này; bấm Bỏ lưu → "Bạn chưa lưu việc làm nào…"</t>
  </si>
  <si>
    <t xml:space="preserve">TC-CAN09-002</t>
  </si>
  <si>
    <t xml:space="preserve">Khách bấm Lưu việc</t>
  </si>
  <si>
    <t xml:space="preserve">1. Bấm Lưu ở một tin</t>
  </si>
  <si>
    <t xml:space="preserve">Được yêu cầu đăng nhập</t>
  </si>
  <si>
    <t xml:space="preserve">Khách bấm "Lưu việc làm" ở /jobs → chuyển /login (from=/jobs); đăng nhập xong quay lại /jobs</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</si>
  <si>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</si>
  <si>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</si>
  <si>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</si>
  <si>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</si>
  <si>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</si>
  <si>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Trang công ty Sao Việt: "+ Theo dõi" → "✓ Đang theo dõi", "0 → 1 người theo dõi"; /candidate/followed-companies có công ty; Bỏ theo dõi → "Bạn chưa theo dõi công ty nào."</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</si>
  <si>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</si>
  <si>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</si>
  <si>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</si>
  <si>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</si>
  <si>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</si>
  <si>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uv1 lưu tin #3007, NTD đóng tin → /candidate/saved-jobs hiện mục "Tin đã hết hạn / đóng" chứa tin đó. Ghi chú: thẻ tin vẫn ghi "Còn 31 ngày"</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</si>
  <si>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</si>
  <si>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</si>
  <si>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</si>
  <si>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</si>
  <si>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</si>
  <si>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Lần đầu Fail: POST /api/candidate/job-alerts → 500 khi Ngành nghề để "Tất cả" (BUG-14). Sau khi sửa: tạo ReactJS · Hà Nội · Hằng ngày trên giao diện → alert xuất hiện đầu danh sách</t>
  </si>
  <si>
    <t xml:space="preserve">BUG-14</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</si>
  <si>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</si>
  <si>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</si>
  <si>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</si>
  <si>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</si>
  <si>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</si>
  <si>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Bấm Gửi thử → "Đã gửi email với 1 việc làm phù hợp"; /admin/emails có #20003 tới uv1@demo.local "1 việc làm mới phù hợp: "ReactJS" · Hà Nội" (SENT)</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</si>
  <si>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</si>
  <si>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</si>
  <si>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</si>
  <si>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</si>
  <si>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</si>
  <si>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Tạo alert trống →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</si>
  <si>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</si>
  <si>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</si>
  <si>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</si>
  <si>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</si>
  <si>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</si>
  <si>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Đủ 5 alert: nút "+ Tạo thông báo" ẩn; gọi API tạo cái thứ 6 → 400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</si>
  <si>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</si>
  <si>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</si>
  <si>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</si>
  <si>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</si>
  <si>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</si>
  <si>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Lần đầu Fail: gạt tắt alert → PATCH 400 "Hãy nhập ít nhất từ khóa…" (BUG-17). Sau khi sửa: đổi Hằng tuần → lưu WEEKLY; tắt → "Đã tắt" (isActive false); Xóa → biến mất khỏi danh sách</t>
  </si>
  <si>
    <t xml:space="preserve">BUG-17</t>
  </si>
  <si>
    <t xml:space="preserve">TC-CAN10-006</t>
  </si>
  <si>
    <t xml:space="preserve">Giới hạn gửi thử 3 lần / 5 phút</t>
  </si>
  <si>
    <t xml:space="preserve">1. Bấm Gửi thử 4 lần trong 5 phút</t>
  </si>
  <si>
    <t xml:space="preserve">Lần 4 bị 429</t>
  </si>
  <si>
    <t xml:space="preserve">Gửi thử alert 4 lần: 1–3 → 200, lần 4 → 429 "…thử lại sau 300 giây"</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</si>
  <si>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</si>
  <si>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</si>
  <si>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</si>
  <si>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</si>
  <si>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</si>
  <si>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</si>
  <si>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</si>
  <si>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</si>
  <si>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</si>
  <si>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</si>
  <si>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</si>
  <si>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6 chưa đọc → bấm thông báo "Hồ sơ của bạn được đánh giá phù hợp" → mở /candidate/applications, chuông còn 5 → "Đánh dấu đã đọc hết" → chuông 0, API 0 chưa đọc</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</si>
  <si>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</si>
  <si>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</si>
  <si>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</si>
  <si>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</si>
  <si>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</si>
  <si>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</si>
  <si>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ntd1 đổi đơn #2004 sang OFFERED với sendEmail=false (qua API) → uv1 nhận thông báo web "Chúc mừng! Bạn nhận được lời mời làm việc"; hàng đợi email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</si>
  <si>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</si>
  <si>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</si>
  <si>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</si>
  <si>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</si>
  <si>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</si>
  <si>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Tin ReactJS → "⚑ Báo cáo tin này" → chọn lý do, mô tả → "Cảm ơn bạn đã báo cáo. Quản trị viên sẽ xem xét sớm."; admin thấy báo cáo #4 OPEN đúng lý do và mô tả (đã đóng sau test)</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</si>
  <si>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</si>
  <si>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</si>
  <si>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</si>
  <si>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</si>
  <si>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</si>
  <si>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Báo cáo lại cùng tin → 409 "Bạn đã báo cáo nội dung này, chúng tôi đang xem xét"</t>
  </si>
  <si>
    <t xml:space="preserve">TC-CAN12-003</t>
  </si>
  <si>
    <t xml:space="preserve">Báo cáo công ty</t>
  </si>
  <si>
    <t xml:space="preserve">1. Mở trang công ty
2. Báo cáo</t>
  </si>
  <si>
    <t xml:space="preserve">Gửi thành công</t>
  </si>
  <si>
    <t xml:space="preserve">Trang công ty Phương Nam → Báo cáo → "Thông tin sai sự thật" → POST /api/reports 201, "Cảm ơn bạn đã báo cáo. Quản trị viên sẽ xem xét sớm."</t>
  </si>
  <si>
    <t xml:space="preserve">TC-CAN12-004</t>
  </si>
  <si>
    <t xml:space="preserve">Giới hạn 5 báo cáo / 10 phút</t>
  </si>
  <si>
    <t xml:space="preserve">1. Gửi 6 báo cáo (đối tượng khác nhau) trong 10 phút</t>
  </si>
  <si>
    <t xml:space="preserve">Lần 6 bị 429</t>
  </si>
  <si>
    <t xml:space="preserve">Sau 1 báo cáo thật, thêm 4 yêu cầu (dữ liệu sai để không tạo báo cáo) → yêu cầu thứ 6 trong 10 phút → 429 "Bạn thao tác quá nhanh…"</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</si>
  <si>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</si>
  <si>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</si>
  <si>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</si>
  <si>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</si>
  <si>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</si>
  <si>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uv1: 3 tin gợi ý (≤20), điểm 50/45/31 (≥25), có breakdown (kỹ năng, chức danh, ngành, địa điểm, KN, lương), kỹ năng đã có/còn thiếu, lý do; giao diện có "% phù hợp" và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</si>
  <si>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</si>
  <si>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</si>
  <si>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</si>
  <si>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</si>
  <si>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</si>
  <si>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uv1 ứng tuyển tin #2010 đang được gợi ý → mở lại gợi ý: không còn #2010 (các tin đã ứng tuyển trước đó cũng không có). Đã rút đơn thử</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</si>
  <si>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</si>
  <si>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</si>
  <si>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</si>
  <si>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</si>
  <si>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</si>
  <si>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</si>
  <si>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qa.uv12 (hồ sơ trống): 200, có profileTips "Thêm kỹ năng vào hồ sơ…", "Thêm tiêu đề nghề nghiệp…"…, không lỗi (dùng qa.uv12 thay qa.uv01)</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</si>
  <si>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</si>
  <si>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</si>
  <si>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</si>
  <si>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</si>
  <si>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</si>
  <si>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Tin Thực tập sinh Tester: 31% (thiếu "Làm việc nhóm") → thêm kỹ năng này cho uv1 → 71%, "Làm việc nhóm" chuyển sang đã có. Đã trả kỹ năng cũ</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</si>
  <si>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</si>
  <si>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</si>
  <si>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</si>
  <si>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</si>
  <si>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</si>
  <si>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Chạy bằng Ollama qwen2.5:7b (không cần ANTHROPIC_API_KEY): /candidate/recommendations/insights → 200 sau ~101 giây (lần đầu, máy chưa có GPU), có nhận xét chung + reason/tip cho 5 tin; trang hiện "✦ Trợ lý nghề nghiệp AI" và "Nhận xét do AI tạo, chỉ mang tính tham khảo…". Chất lượng: lý do còn lặp lại giữa các tin</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</si>
  <si>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</si>
  <si>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</si>
  <si>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</si>
  <si>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</si>
  <si>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Chưa có API key: /candidate/recommendations hiện 5 tin kèm % phù hợp và lý do; không có nút/khung nhận xét AI</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</si>
  <si>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</si>
  <si>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</si>
  <si>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</si>
  <si>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</si>
  <si>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</si>
  <si>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Dữ liệu gửi AI (recommendations.service → ai-explainer) chỉ gồm headline, summary ≤ 600 ký tự, số năm KN, kỹ năng, tỉnh, lương mong muốn – không có họ tên, email, SĐT, địa chỉ; với Ollama dữ liệu không rời máy chủ. Kiểm tra bằng mã nguồn (không xem được log request của mô hình)</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</si>
  <si>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</si>
  <si>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</si>
  <si>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</si>
  <si>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</si>
  <si>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</si>
  <si>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Gọi /insights lặp lại (kết quả lấy từ cache): lần thứ 11 trong 1 giờ → 429 "Bạn thao tác quá nhanh, vui lòng thử lại sau 3467 giây"; danh sách gợi ý vẫn trả 5 tin</t>
  </si>
  <si>
    <t xml:space="preserve">TC-CAN13-009</t>
  </si>
  <si>
    <t xml:space="preserve">NTD / khách không vào được trang gợi ý</t>
  </si>
  <si>
    <t xml:space="preserve">Bị chặn (403 / chuyển trang)</t>
  </si>
  <si>
    <t xml:space="preserve">ntd1 gọi /api/candidate/recommendations → 403; khách → 401; giao diện /candidate/* của NTD → /403 (đã kiểm ở AUTH02-011)</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</si>
  <si>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</si>
  <si>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</si>
  <si>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</si>
  <si>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</si>
  <si>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</si>
  <si>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</si>
  <si>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</si>
  <si>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</si>
  <si>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</si>
  <si>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</si>
  <si>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</si>
  <si>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</si>
  <si>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Bản xem trước PDF đổi theo mẫu Hiện đại / Cổ điển (tiêu đề giữa, gạch chân) / Tối giản (cột nhãn trái) và màu xanh mặc định / đỏ #be123c</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</si>
  <si>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</si>
  <si>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</si>
  <si>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</si>
  <si>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</si>
  <si>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</si>
  <si>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qa.uv01 (có ảnh, ngày sinh 03/02/2001): bật ảnh, tắt ngày sinh → CV có ảnh, không có ngày sinh; tắt ảnh, bật ngày sinh → không có ảnh, có "Ngày sinh: 03/02/2001"</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</si>
  <si>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</si>
  <si>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</si>
  <si>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</si>
  <si>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</si>
  <si>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</si>
  <si>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Nhập TOEIC 750 / Tiếng Anh – Khá / Đọc sách → CV có 3 mục CHỨNG CHỈ, NGOẠI NGỮ, SỞ THÍCH đúng nội dung</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</si>
  <si>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</si>
  <si>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</si>
  <si>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</si>
  <si>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</si>
  <si>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</si>
  <si>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</si>
  <si>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</si>
  <si>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</si>
  <si>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</si>
  <si>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</si>
  <si>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</si>
  <si>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</si>
  <si>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</si>
  <si>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</si>
  <si>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</si>
  <si>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</si>
  <si>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</si>
  <si>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</si>
  <si>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</si>
  <si>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</si>
  <si>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</si>
  <si>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</si>
  <si>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Lưu tuỳ chọn Cổ điển + #be123c → tải lại trang vẫn chọn Cổ điển, màu đỏ, giữ chứng chỉ. Đã khôi phục cài đặt của uv1</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</si>
  <si>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</si>
  <si>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</si>
  <si>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</si>
  <si>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</si>
  <si>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</si>
  <si>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</si>
  <si>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</si>
  <si>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</si>
  <si>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</si>
  <si>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</si>
  <si>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</si>
  <si>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</si>
  <si>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</si>
  <si>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</si>
  <si>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</si>
  <si>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</si>
  <si>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</si>
  <si>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</si>
  <si>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</si>
  <si>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</si>
  <si>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</si>
  <si>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</si>
  <si>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</si>
  <si>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</si>
  <si>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</si>
  <si>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Menu "Tin nhắn 1" → mở cuộc "QA – Kế toán 01" → menu hết huy hiệu, unread-count 0</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</si>
  <si>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</si>
  <si>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</si>
  <si>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</si>
  <si>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</si>
  <si>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</si>
  <si>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Ô nhập maxlength 2000 + bộ đếm x/2000; API: 2000 ký tự → 201, 2001 → 400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</si>
  <si>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</si>
  <si>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</si>
  <si>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</si>
  <si>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</si>
  <si>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</si>
  <si>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Chỉ khoảng trắng: nút Gửi bị khoá; API → 400 "Vui lòng nhập nội dung tin nhắn"</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</si>
  <si>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</si>
  <si>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</si>
  <si>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</si>
  <si>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</si>
  <si>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</si>
  <si>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</si>
  <si>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</si>
  <si>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</si>
  <si>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</si>
  <si>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</si>
  <si>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</si>
  <si>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</si>
  <si>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</si>
  <si>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</si>
  <si>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</si>
  <si>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</si>
  <si>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</si>
  <si>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</si>
  <si>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</si>
  <si>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</si>
  <si>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</si>
  <si>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</si>
  <si>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</si>
  <si>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</si>
  <si>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</si>
  <si>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</si>
  <si>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</si>
  <si>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</si>
  <si>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</si>
  <si>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</si>
  <si>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</si>
  <si>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</si>
  <si>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</si>
  <si>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</si>
  <si>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</si>
  <si>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</si>
  <si>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</si>
  <si>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</si>
  <si>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</si>
  <si>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rating 0 và 6 → 400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</si>
  <si>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</si>
  <si>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</si>
  <si>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</si>
  <si>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</si>
  <si>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</si>
  <si>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Điểm tốt 19 ký tự → "Điểm tốt: tối thiểu 20 ký tự"; Điểm chưa tốt 19 → "Điểm chưa tốt: tối thiểu 20 ký tự"; 20 ký tự → lưu được (PENDING)</t>
  </si>
  <si>
    <t xml:space="preserve">TC-CAN16-005</t>
  </si>
  <si>
    <t xml:space="preserve">Không chọn quan hệ với công ty</t>
  </si>
  <si>
    <t xml:space="preserve">Bỏ trống quan hệ</t>
  </si>
  <si>
    <t xml:space="preserve">Báo "Vui lòng chọn mối quan hệ với công ty"</t>
  </si>
  <si>
    <t xml:space="preserve">Không gửi relation → 400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</si>
  <si>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</si>
  <si>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</si>
  <si>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</si>
  <si>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</si>
  <si>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</si>
  <si>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</si>
  <si>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</si>
  <si>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</si>
  <si>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</si>
  <si>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</si>
  <si>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</si>
  <si>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</si>
  <si>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</si>
  <si>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</si>
  <si>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</si>
  <si>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</si>
  <si>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</si>
  <si>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</si>
  <si>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Đánh giá #1002 (Phương Nam) đã duyệt hiện ở trang công ty → uv1 bấm Xoá (xác nhận "Xoá đánh giá này?") → biến mất khỏi /candidate/reviews và trang công ty</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</si>
  <si>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</si>
  <si>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</si>
  <si>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</si>
  <si>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</si>
  <si>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</si>
  <si>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Admin từ chối #1002 lý do "Ngôn từ không phù hợp" → uv1 nhận "Đánh giá của bạn chưa được duyệt – Công ty CP Thương mại Phương Nam (Demo): Ngôn từ không phù hợp"; /candidate/reviews hiện "Bị từ chối · Lý do: Ngôn từ không phù hợp"</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</si>
  <si>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</si>
  <si>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</si>
  <si>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</si>
  <si>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</si>
  <si>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</si>
  <si>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</si>
  <si>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</si>
  <si>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</si>
  <si>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</si>
  <si>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</si>
  <si>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</si>
  <si>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</si>
  <si>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</si>
  <si>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</si>
  <si>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</si>
  <si>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</si>
  <si>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</si>
  <si>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</si>
  <si>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</si>
  <si>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</si>
  <si>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</si>
  <si>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</si>
  <si>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</si>
  <si>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</si>
  <si>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</si>
  <si>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</si>
  <si>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</si>
  <si>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</si>
  <si>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</si>
  <si>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</si>
  <si>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</si>
  <si>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</si>
  <si>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</si>
  <si>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</si>
  <si>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</si>
  <si>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</si>
  <si>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ntd2 mở "Lập trình viên ReactJS": 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</si>
  <si>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</si>
  <si>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</si>
  <si>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</si>
  <si>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</si>
  <si>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</si>
  <si>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</si>
  <si>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</si>
  <si>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</si>
  <si>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</si>
  <si>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</si>
  <si>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</si>
  <si>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Tin và trang công ty Sao Việt: "⚡ Nhà tuyển dụng phản hồi nhanh – Phản hồi 100% hồ sơ, thường trong 1 giờ." (9 đơn mẫu đã xử lý)</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</si>
  <si>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</si>
  <si>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</si>
  <si>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</si>
  <si>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</si>
  <si>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</si>
  <si>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Sao Việt (100%, ~1 giờ) có nhãn ⚡ ở danh sách và chi tiết; Phương Nam / QA NTD 01 (chưa đủ số liệu) không có nhãn. Ranh giới 79% kiểm bằng unit test response-stats.spec (79% → fast=false)</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</si>
  <si>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</si>
  <si>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</si>
  <si>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</si>
  <si>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</si>
  <si>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</si>
  <si>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/jobs tick "⚡ Chỉ NTD phản hồi nhanh" → ?fastResponse=true, 11 → 8 việc làm (chỉ công ty 1); bỏ tick → 11</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</si>
  <si>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</si>
  <si>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</si>
  <si>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</si>
  <si>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</si>
  <si>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</si>
  <si>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</si>
  <si>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</si>
  <si>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</si>
  <si>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</si>
  <si>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</si>
  <si>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</si>
  <si>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</si>
  <si>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</si>
  <si>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</si>
  <si>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</si>
  <si>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</si>
  <si>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</si>
  <si>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</si>
  <si>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</si>
  <si>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</si>
  <si>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</si>
  <si>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</si>
  <si>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</si>
  <si>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</si>
  <si>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</si>
  <si>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</si>
  <si>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</si>
  <si>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</si>
  <si>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</si>
  <si>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</si>
  <si>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</si>
  <si>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</si>
  <si>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</si>
  <si>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</si>
  <si>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</si>
  <si>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</si>
  <si>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</si>
  <si>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uv2: cv-yeu.doc và cv-scan-qa.pdf (PDF chỉ có ảnh) → cvReadable=false, kết quả 30% dựa trên hồ sơ; giao diện hiện "Không đọc được nội dung file CV (có thể là ảnh scan)…" khi cvReadable=false và có CV</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</si>
  <si>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</si>
  <si>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</si>
  <si>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</si>
  <si>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</si>
  <si>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</si>
  <si>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uv1 chọn "Chỉ dùng thông tin hồ sơ" → Kiểm tra ngay → 30% "Chưa phù hợp", không có cảnh báo file CV; lượt 5/5 → 4/5</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</si>
  <si>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</si>
  <si>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</si>
  <si>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</si>
  <si>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</si>
  <si>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</si>
  <si>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</si>
  <si>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</si>
  <si>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</si>
  <si>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</si>
  <si>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</si>
  <si>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</si>
  <si>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</si>
  <si>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</si>
  <si>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</si>
  <si>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</si>
  <si>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</si>
  <si>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</si>
  <si>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</si>
  <si>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</si>
  <si>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</si>
  <si>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</si>
  <si>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</si>
  <si>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</si>
  <si>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</si>
  <si>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</si>
  <si>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</si>
  <si>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</si>
  <si>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</si>
  <si>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</si>
  <si>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</si>
  <si>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</si>
  <si>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</si>
  <si>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</si>
  <si>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</si>
  <si>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</si>
  <si>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</si>
  <si>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</si>
  <si>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uv2 hết 5/5 lượt → chạy scripts/qa-cv-luot-ngay-moi.cmd (đổi 5 bản ghi sang hôm qua) → cửa sổ kiểm tra hiện "Còn 5/5 lượt hôm nay"</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</si>
  <si>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</si>
  <si>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</si>
  <si>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</si>
  <si>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</si>
  <si>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</si>
  <si>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</si>
  <si>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</si>
  <si>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</si>
  <si>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</si>
  <si>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</si>
  <si>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</si>
  <si>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</si>
  <si>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</si>
  <si>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</si>
  <si>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</si>
  <si>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</si>
  <si>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</si>
  <si>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</si>
  <si>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Tin #3006 (bị từ chối) và #2011 (EXPIRED) → 404 "Tin tuyển dụng không tồn tại hoặc đã hết hạn"; không trừ lượt</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</si>
  <si>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</si>
  <si>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</si>
  <si>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</si>
  <si>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</si>
  <si>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</si>
  <si>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</si>
  <si>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Tin QA #3008 yêu cầu Node.js, SQL Server, Git. CV "NodeJS…" → Node.js Đáp ứng; CV chỉ ghi "NestJS, PostgreSQL, GitHub Actions" → Node.js "Suy ra từ nestjs", Git "Suy ra từ github"; SQL Server Thiếu (PostgreSQL không thay SQL Server). Quy tắc PostgreSQL ⇒ SQL có unit test</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</si>
  <si>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</si>
  <si>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</si>
  <si>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</si>
  <si>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</si>
  <si>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</si>
  <si>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Bấm Ứng tuyển ngay → đóng cửa sổ kiểm tra, mở cửa sổ ứng tuyển; nộp bằng cv-chrome.pdf → mở lại kiểm tra chỉ còn "Kiểm tra lại", không còn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</si>
  <si>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</si>
  <si>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</si>
  <si>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</si>
  <si>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</si>
  <si>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</si>
  <si>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</si>
  <si>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7 POST kiểm tra trong 60 giây → request thứ 7 → 429 "Bạn thao tác quá nhanh, vui lòng thử lại sau 59 giây"</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</si>
  <si>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</si>
  <si>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</si>
  <si>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</si>
  <si>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</si>
  <si>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</si>
  <si>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</si>
  <si>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</si>
  <si>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360×740: cửa sổ trượt từ dưới (top 74px tới đáy), rộng 360, không phần tử tràn ngang, vùng nội dung cuộn được; vòng % và danh sách gợi ý đọc rõ</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</si>
  <si>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</si>
  <si>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</si>
  <si>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</si>
  <si>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</si>
  <si>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Tắt API → mở cửa sổ kiểm tra: "Không kết nối được máy chủ, vui lòng thử lại sau" + nút Thử lại; bật API, bấm Thử lại → tải kết quả 77%. Phát hiện BUG-18 (trang tin báo "Không tìm thấy" khi API tắt) – đã sửa</t>
  </si>
  <si>
    <t xml:space="preserve">BUG-18</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</si>
  <si>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</si>
  <si>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</si>
  <si>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</si>
  <si>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</si>
  <si>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</si>
  <si>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</si>
  <si>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</si>
  <si>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</si>
  <si>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</si>
  <si>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</si>
  <si>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</si>
  <si>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</si>
  <si>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</si>
  <si>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</si>
  <si>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</si>
  <si>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</si>
  <si>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</si>
  <si>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</si>
  <si>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</si>
  <si>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MST 12345 / 01012345678 / 0101234567-12 → 400 "Mã số thuế gồm 10 số (hoặc 10 số-3 số)"; 0101234567 và 0101234567-001 hợp lệ (thử trên công ty chưa xác minh của qa.ntd12 vì công ty ntd1 đã xác minh nên khoá MST)</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</si>
  <si>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</si>
  <si>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</si>
  <si>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</si>
  <si>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</si>
  <si>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</si>
  <si>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Website "qa.test" → 400 "Website phải bắt đầu bằng http:// hoặc https://"; https://qa.test → 200</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</si>
  <si>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</si>
  <si>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</si>
  <si>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</si>
  <si>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</si>
  <si>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</si>
  <si>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</si>
  <si>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</si>
  <si>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</si>
  <si>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</si>
  <si>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</si>
  <si>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</si>
  <si>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</si>
  <si>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ntd1 tải logo PNG 1MB và ảnh bìa JPG 2,5MB → 201; URL mới có ở trang quản lý (/employer/me), trang công ty công khai và thẻ tin (company.logoUrl); ảnh tải được 200 image/png</t>
  </si>
  <si>
    <t xml:space="preserve">TC-EMP01-007</t>
  </si>
  <si>
    <t xml:space="preserve">Logo &gt; 2MB / ảnh bìa &gt; 3MB</t>
  </si>
  <si>
    <t xml:space="preserve">logo 2,1MB; cover 3,1MB</t>
  </si>
  <si>
    <t xml:space="preserve">Báo "File tối đa 2MB" / "File tối đa 3MB"</t>
  </si>
  <si>
    <t xml:space="preserve">Logo 2,1MB → 413 "File tối đa 2MB"; ảnh bìa 3,1MB → 413 "File tối đa 3MB" (sau khi sửa BUG-13 – trước đây chỉ báo "Dữ liệu / file vượt quá dung lượng cho phép"). Ảnh đại diện ứng viên 2,1MB cũng → "File tối đa 2MB"</t>
  </si>
  <si>
    <t xml:space="preserve">BUG-13</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</si>
  <si>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</si>
  <si>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</si>
  <si>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</si>
  <si>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</si>
  <si>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</si>
  <si>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Giới thiệu công ty chứa &lt;img onerror&gt;, &lt;script&gt;, &lt;a href=javascript:&gt; → lưu được nhưng trang công ty hiển thị dạng chữ (whitespace-pre-line, React escape): không có img/script/link javascript trong DOM, không chạy script. Đã trả nội dung cũ</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</si>
  <si>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</si>
  <si>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</si>
  <si>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</si>
  <si>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</si>
  <si>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</si>
  <si>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</si>
  <si>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</si>
  <si>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</si>
  <si>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</si>
  <si>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</si>
  <si>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</si>
  <si>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</si>
  <si>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</si>
  <si>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</si>
  <si>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</si>
  <si>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</si>
  <si>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</si>
  <si>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</si>
  <si>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</si>
  <si>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qa.ntd12 (UNVERIFIED, có MST): gửi gpkd.docx → 400 "Chỉ chấp nhận file PDF, JPG hoặc PNG"; PDF 5,1MB → 413 "File tối đa 5MB"; trạng thái vẫn UNVERIFIED</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</si>
  <si>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</si>
  <si>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</si>
  <si>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</si>
  <si>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</si>
  <si>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</si>
  <si>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</si>
  <si>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Admin từ chối qa.ntd11 lý do "QA: ảnh giấy phép bị mờ, vui lòng chụp lại" → NTD thấy REJECTED + đúng lý do (verificationNote); gửi lại giấy phép → 201 PENDING</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</si>
  <si>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</si>
  <si>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</si>
  <si>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</si>
  <si>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</si>
  <si>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</si>
  <si>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</si>
  <si>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</si>
  <si>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</si>
  <si>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</si>
  <si>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</si>
  <si>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</si>
  <si>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</si>
  <si>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</si>
  <si>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</si>
  <si>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</si>
  <si>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</si>
  <si>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</si>
  <si>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</si>
  <si>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</si>
  <si>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</si>
  <si>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</si>
  <si>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</si>
  <si>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</si>
  <si>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</si>
  <si>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</si>
  <si>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</si>
  <si>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</si>
  <si>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</si>
  <si>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</si>
  <si>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</si>
  <si>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</si>
  <si>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</si>
  <si>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</si>
  <si>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</si>
  <si>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</si>
  <si>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</si>
  <si>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</si>
  <si>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</si>
  <si>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</si>
  <si>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</si>
  <si>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</si>
  <si>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</si>
  <si>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</si>
  <si>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</si>
  <si>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</si>
  <si>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</si>
  <si>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</si>
  <si>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</si>
  <si>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Tin "QA – Thỏa thuận lượt 3" chọn Thỏa thuận, bỏ trống lương → 201 (salaryMin/Max null); sau duyệt trang tin hiện "Mức lương: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</si>
  <si>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</si>
  <si>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</si>
  <si>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</si>
  <si>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</si>
  <si>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</si>
  <si>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</si>
  <si>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</si>
  <si>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</si>
  <si>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</si>
  <si>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</si>
  <si>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</si>
  <si>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</si>
  <si>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</si>
  <si>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</si>
  <si>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</si>
  <si>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</si>
  <si>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</si>
  <si>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</si>
  <si>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</si>
  <si>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</si>
  <si>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</si>
  <si>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</si>
  <si>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</si>
  <si>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</si>
  <si>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</si>
  <si>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</si>
  <si>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</si>
  <si>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</si>
  <si>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</si>
  <si>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</si>
  <si>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</si>
  <si>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</si>
  <si>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</si>
  <si>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</si>
  <si>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</si>
  <si>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</si>
  <si>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ntd3 (companyRole MEMBER) đăng tin "QA – Thành viên đăng tin" + gửi duyệt → 201 PENDING; admin xem tin thuộc "Công ty TNHH Công nghệ Sao Việt (Demo)"</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</si>
  <si>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</si>
  <si>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</si>
  <si>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</si>
  <si>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</si>
  <si>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</si>
  <si>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</si>
  <si>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</si>
  <si>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</si>
  <si>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</si>
  <si>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</si>
  <si>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</si>
  <si>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</si>
  <si>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</si>
  <si>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</si>
  <si>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</si>
  <si>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</si>
  <si>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</si>
  <si>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</si>
  <si>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</si>
  <si>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</si>
  <si>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</si>
  <si>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</si>
  <si>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</si>
  <si>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</si>
  <si>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</si>
  <si>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</si>
  <si>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</si>
  <si>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</si>
  <si>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</si>
  <si>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</si>
  <si>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</si>
  <si>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</si>
  <si>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</si>
  <si>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</si>
  <si>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</si>
  <si>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</si>
  <si>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</si>
  <si>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</si>
  <si>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</si>
  <si>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</si>
  <si>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</si>
  <si>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</si>
  <si>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</si>
  <si>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</si>
  <si>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</si>
  <si>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</si>
  <si>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</si>
  <si>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</si>
  <si>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</si>
  <si>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</si>
  <si>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</si>
  <si>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Tin #1006 CLOSED, hạn nộp đặt về 29/10/2026 bằng scripts/qa-tin-het-han.cmd (DB dev) → Mở lại → 400 "Tin đã quá hạn nộp, vui lòng gia hạn", tin vẫn CLOSED</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</si>
  <si>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</si>
  <si>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</si>
  <si>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</si>
  <si>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</si>
  <si>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</si>
  <si>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</si>
  <si>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Tin #2010 (hạn 29/10) tự chuyển EXPIRED qua đêm → gia hạn tới 13/11/2026 (+14 ngày) → 200 APPROVED, trang công khai 200 trở lại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</si>
  <si>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</si>
  <si>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</si>
  <si>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</si>
  <si>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</si>
  <si>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</si>
  <si>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</si>
  <si>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Gia hạn tin #2011 với hạn mới = hạn hiện tại (18/11) → 400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</si>
  <si>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</si>
  <si>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</si>
  <si>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</si>
  <si>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</si>
  <si>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</si>
  <si>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</si>
  <si>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</si>
  <si>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</si>
  <si>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</si>
  <si>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</si>
  <si>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</si>
  <si>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</si>
  <si>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</si>
  <si>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</si>
  <si>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</si>
  <si>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</si>
  <si>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Tin #2010 có hạn 29/10 → sáng 30/10 (sau khi tác vụ hết hạn chạy) trạng thái EXPIRED; trang công khai 404, không có trong kết quả tìm kiếm; ứng tuyển → 400 (câu báo "Tin tuyển dụng đã đóng…" – chưa nói rõ "đã hết hạn")</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</si>
  <si>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</si>
  <si>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</si>
  <si>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</si>
  <si>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</si>
  <si>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</si>
  <si>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</si>
  <si>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</si>
  <si>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</si>
  <si>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</si>
  <si>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</si>
  <si>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</si>
  <si>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</si>
  <si>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</si>
  <si>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</si>
  <si>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</si>
  <si>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</si>
  <si>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</si>
  <si>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</si>
  <si>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</si>
  <si>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</si>
  <si>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</si>
  <si>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Chi tiết đơn #13 (cv-yeu.docx): chỉ có nút "Tải về", không có "Xem CV" và không nhúng xem trực tiếp (resumeIsPdf=false)</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</si>
  <si>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</si>
  <si>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</si>
  <si>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</si>
  <si>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</si>
  <si>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</si>
  <si>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</si>
  <si>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</si>
  <si>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</si>
  <si>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</si>
  <si>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</si>
  <si>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</si>
  <si>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</si>
  <si>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</si>
  <si>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</si>
  <si>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</si>
  <si>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</si>
  <si>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</si>
  <si>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</si>
  <si>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</si>
  <si>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</si>
  <si>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</si>
  <si>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</si>
  <si>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</si>
  <si>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</si>
  <si>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</si>
  <si>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</si>
  <si>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</si>
  <si>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</si>
  <si>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</si>
  <si>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</si>
  <si>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</si>
  <si>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</si>
  <si>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</si>
  <si>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</si>
  <si>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</si>
  <si>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</si>
  <si>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</si>
  <si>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Đơn #2005 (Đã xem): lời nhắn 3001 ký tự → 400; 3000 ký tự → 200, đơn chuyển Phù hợp. Ghi nhận OBS-02: câu lỗi 3001 bằng tiếng Anh</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</si>
  <si>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</si>
  <si>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</si>
  <si>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</si>
  <si>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</si>
  <si>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</si>
  <si>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</si>
  <si>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ntd1 lưu ghi chú "QA - gọi lại thứ 2" vào đơn #1006 → 200; ntd3 (cùng công ty) mở đơn → thấy đúng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</si>
  <si>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</si>
  <si>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</si>
  <si>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</si>
  <si>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</si>
  <si>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</si>
  <si>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</si>
  <si>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</si>
  <si>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</si>
  <si>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</si>
  <si>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</si>
  <si>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</si>
  <si>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</si>
  <si>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Không lọc: 2 hồ sơ công khai (Nguyễn Văn An, Phạm Thị Bình); lọc React + Hà Nội + KN ≥ 2 → chỉ Nguyễn Văn An (React, 2 năm); hồ sơ không công khai (vd. qa.uv01) không xuất hiện</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</si>
  <si>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</si>
  <si>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</si>
  <si>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</si>
  <si>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</si>
  <si>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</si>
  <si>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ntd2 (chưa mở liên hệ) xem hồ sơ uv1: email/phone/address = null, contactUnlocked=false; response không có userId, đường dẫn file, CV hay mật khẩu; chỉ hồ sơ, kỹ năng, học vấn, kinh nghiệm, ngày sinh (đã chốt Q-01). ntd1 đã mở liên hệ thì thấy email/SĐT. CV chỉ mở qua link có chữ ký (đơn ứng tuyển)</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</si>
  <si>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</si>
  <si>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</si>
  <si>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</si>
  <si>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</si>
  <si>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</si>
  <si>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/employer: Tin đang tuyển 8 (16 tin · 3 chờ duyệt), lượt xem 45, đơn 19, đơn chưa xem 1 – khớp danh sách tin/đơn; có biểu đồ 30 ngày (kèm "Xem dạng bảng"), phễu chuyển đổi, bảng tin hiệu quả nhất, khối tỉ lệ phản hồi</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</si>
  <si>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</si>
  <si>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</si>
  <si>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</si>
  <si>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</si>
  <si>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</si>
  <si>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Trước: tổng đơn 21, chưa xem 1 → uv2 ứng tuyển "QA – Đếm việc cần xử lý" (đơn #2006) → tổng 22, chưa xem 2</t>
  </si>
  <si>
    <t xml:space="preserve">TC-EMP10-003</t>
  </si>
  <si>
    <t xml:space="preserve">Công ty mới chưa có dữ liệu</t>
  </si>
  <si>
    <t xml:space="preserve">qa.ntd01 vừa tạo công ty</t>
  </si>
  <si>
    <t xml:space="preserve">Hiện số 0 / trạng thái trống, không lỗi</t>
  </si>
  <si>
    <t xml:space="preserve">qa.ntd13 (QA Company 13 mới tạo) mở /employer: các thẻ đều 0, tỉ lệ/thời gian phản hồi "–", biểu đồ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</si>
  <si>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</si>
  <si>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</si>
  <si>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</si>
  <si>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</si>
  <si>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</si>
  <si>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ntd1 /employer/team mời qa.ntd02@test.local (Thành viên) → "Lời mời đang chờ (1)", có link /join-company?token=… để sao chép, hết hạn sau 7 ngày</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</si>
  <si>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</si>
  <si>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</si>
  <si>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</si>
  <si>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</si>
  <si>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</si>
  <si>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</si>
  <si>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Khách mở link → "Tạo tài khoản nhà tuyển dụng" (email điền sẵn qa.ntd02, vai trò NTD) → đăng ký → quay lại trang mời → Tham gia → /employer của Sao Việt, vai trò MEMBER</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</si>
  <si>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</si>
  <si>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</si>
  <si>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</si>
  <si>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</si>
  <si>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</si>
  <si>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Dùng qa.ntd14 (NTD mới, chưa có công ty – qa.ntd01 đã có công ty): nhận thông báo "Lời mời tham gia Công ty TNHH Công nghệ Sao Việt (Demo) – Từ Trần Thị HR"; mở link → Tham gia → /employer, MEMBER</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</si>
  <si>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</si>
  <si>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</si>
  <si>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</si>
  <si>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</si>
  <si>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</si>
  <si>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Đăng nhập ntd2 mở link của qa.ntd02: trang báo "Lời mời chỉ dùng được với tài khoản nhà tuyển dụng qa.ntd02@test.local" + nút đăng xuất, không có nút Tham gia; API accept bằng token ntd2 → 403 "Lời mời dành cho qa.ntd02@test.local. Vui lòng đăng nhập đúng tài khoản này."</t>
  </si>
  <si>
    <t xml:space="preserve">TC-EMP11-005</t>
  </si>
  <si>
    <t xml:space="preserve">Mời tài khoản ứng viên</t>
  </si>
  <si>
    <t xml:space="preserve">1. Mời uv1</t>
  </si>
  <si>
    <t xml:space="preserve">Báo "Email này đang là tài khoản ứng viên / quản trị, không thể mời…"</t>
  </si>
  <si>
    <t xml:space="preserve">Mời uv1@demo.local → 400 "Email này đang là tài khoản ứng viên / quản trị, không thể mời làm nhà tuyển dụng"</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</si>
  <si>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</si>
  <si>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</si>
  <si>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</si>
  <si>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</si>
  <si>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</si>
  <si>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Mời ntd2@demo.local → 409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</si>
  <si>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</si>
  <si>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</si>
  <si>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</si>
  <si>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</si>
  <si>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</si>
  <si>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Mời lại qa.ntd02 → link mới; link cũ preview → 404 "Lời mời không hợp lệ hoặc đã bị thu hồi", link mới hợp lệ; danh sách chỉ còn 1 lời mời</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</si>
  <si>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</si>
  <si>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</si>
  <si>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</si>
  <si>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</si>
  <si>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</si>
  <si>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</si>
  <si>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Script qa-p2-ntd.cmd thêm lời mời giả đủ 20 đang chờ → mời thêm → 400 "Tối đa 20 lời mời đang chờ". Đã thu hồi các lời mời giả</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</si>
  <si>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</si>
  <si>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</si>
  <si>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</si>
  <si>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</si>
  <si>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Lời mời qa.expire2 đặt hết hạn bằng script qa-p2-ntd-2.cmd → mở link: "Lời mời đã hết hạn, hãy nhờ người mời gửi lại"; API preview/accept → 400 cùng câu</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</si>
  <si>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</si>
  <si>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</si>
  <si>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</si>
  <si>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</si>
  <si>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</si>
  <si>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Bấm Thu hồi lời mời qa.revoke → biến mất (đang chờ 2 → 1); link đó preview → 404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</si>
  <si>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</si>
  <si>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</si>
  <si>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</si>
  <si>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</si>
  <si>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ntd3 /employer/team: không có ô mời, không có ô đổi vai trò/nút gỡ (chỉ "Rời công ty"); API mời bằng token ntd3 → 403 "Chỉ quản trị viên của công ty mới thực hiện được thao tác này"</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</si>
  <si>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</si>
  <si>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</si>
  <si>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</si>
  <si>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</si>
  <si>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</si>
  <si>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ntd3 /employer/company: "Bạn là thành viên… Chỉ quản trị viên công ty mới sửa được hồ sơ…"; 7/7 ô bị khoá, không có nút Lưu / đổi logo / ảnh bìa / xác minh; PATCH /api/employer/company →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</si>
  <si>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</si>
  <si>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</si>
  <si>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</si>
  <si>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</si>
  <si>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</si>
  <si>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ntd1 đổi ntd3 thành Quản trị viên → ntd3 tải lại Hồ sơ công ty: ô nhập mở, có Lưu thay đổi / Đổi logo / Đổi ảnh bìa; PATCH → 200. Đã đổi ntd3 về Thành viên</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</si>
  <si>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</si>
  <si>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</si>
  <si>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</si>
  <si>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</si>
  <si>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</si>
  <si>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ntd1 (Chủ duy nhất) đổi mình thành Thành viên → 400 và bấm Rời công ty → cùng báo "Công ty cần ít nhất 1 quản trị viên. Hãy chỉ định người khác làm quản trị viên trước."</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</si>
  <si>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</si>
  <si>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</si>
  <si>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</si>
  <si>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</si>
  <si>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</si>
  <si>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Dùng qa.ntd14 thay ntd3 (giữ dữ liệu demo): ntd1 "Gỡ khỏi công ty" (xác nhận "Gỡ QA NTD 14 khỏi công ty?") → qa.ntd14 không còn công ty; API tin/đơn → 403 "Bạn cần tạo hồ sơ công ty trước"</t>
  </si>
  <si>
    <t xml:space="preserve">TC-EMP11-016</t>
  </si>
  <si>
    <t xml:space="preserve">Thành viên tự rời công ty</t>
  </si>
  <si>
    <t xml:space="preserve">1. ntd3 bấm Rời công ty → xác nhận</t>
  </si>
  <si>
    <t xml:space="preserve">ntd3 rời thành công, quay về trạng thái chưa có công ty</t>
  </si>
  <si>
    <t xml:space="preserve">Dùng qa.ntd02 thay ntd3: Rời công ty (xác nhận "Rời công ty? Bạn sẽ không còn thấy tin và ứng viên…") → /employer hiện "Hãy tạo hồ sơ công ty để bắt đầu đăng tin tuyển dụng."</t>
  </si>
  <si>
    <t xml:space="preserve">TC-EMP11-017</t>
  </si>
  <si>
    <t xml:space="preserve">Giới hạn 20 lời mời / giờ</t>
  </si>
  <si>
    <t xml:space="preserve">21 email</t>
  </si>
  <si>
    <t xml:space="preserve">1. Gửi 21 lời mời trong 1 giờ</t>
  </si>
  <si>
    <t xml:space="preserve">Yêu cầu mời thứ 21 trong 1 giờ (sau khởi động lại API) → 429 "Bạn thao tác quá nhanh, vui lòng thử lại sau 3597 giây"</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</si>
  <si>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</si>
  <si>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</si>
  <si>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</si>
  <si>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</si>
  <si>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</si>
  <si>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</si>
  <si>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</si>
  <si>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</si>
  <si>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</si>
  <si>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</si>
  <si>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</si>
  <si>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</si>
  <si>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</si>
  <si>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</si>
  <si>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</si>
  <si>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</si>
  <si>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</si>
  <si>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</si>
  <si>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</si>
  <si>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</si>
  <si>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</si>
  <si>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</si>
  <si>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</si>
  <si>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</si>
  <si>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ntd1 gửi tin vào cuộc #3 (uv1 đã rút đơn) → 400 "Đơn đã rút, không thể gửi thêm tin nhắn"</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</si>
  <si>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</si>
  <si>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</si>
  <si>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</si>
  <si>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</si>
  <si>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</si>
  <si>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/employer/messages: cuộc của Nguyễn Văn An (tin mới nhất 1 giờ trước, chưa đọc) ở đầu, sau đó 4 giờ trước, 1 ngày trước; mở cuộc đó → chưa đọc về 0, huy hiệu menu mất</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</si>
  <si>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</si>
  <si>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</si>
  <si>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</si>
  <si>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</si>
  <si>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</si>
  <si>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</si>
  <si>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</si>
  <si>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</si>
  <si>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</si>
  <si>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</si>
  <si>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</si>
  <si>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/employer/reviews chỉ hiện đánh giá đã duyệt (service lọc status APPROVED); đánh giá ẩn danh hiện "Người dùng ẩn danh", API công khai author null</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</si>
  <si>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</si>
  <si>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</si>
  <si>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</si>
  <si>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</si>
  <si>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</si>
  <si>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</si>
  <si>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ntd1 phản hồi "Cảm ơn bạn đã góp ý" → API công khai (không đăng nhập) trả employerReply đúng nội dung</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</si>
  <si>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</si>
  <si>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</si>
  <si>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</si>
  <si>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</si>
  <si>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</si>
  <si>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</si>
  <si>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</si>
  <si>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</si>
  <si>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</si>
  <si>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</si>
  <si>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</si>
  <si>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</si>
  <si>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Lưu phản hồi rỗng → 200, employerReply null trên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</si>
  <si>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</si>
  <si>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</si>
  <si>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</si>
  <si>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</si>
  <si>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</si>
  <si>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ntd1 phản hồi đánh giá #3 (công ty Phương Nam) →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</si>
  <si>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</si>
  <si>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</si>
  <si>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</si>
  <si>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</si>
  <si>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Trang Gói dịch vụ: Cơ bản 990.000 đ/30 ngày (3 lượt nổi bật, 20 lượt liên hệ), Chuyên nghiệp 2.490.000 đ/30 ngày (10, 80), Doanh nghiệp 5.990.000 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</si>
  <si>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</si>
  <si>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</si>
  <si>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</si>
  <si>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</si>
  <si>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</si>
  <si>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</si>
  <si>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</si>
  <si>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</si>
  <si>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</si>
  <si>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</si>
  <si>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</si>
  <si>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</si>
  <si>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</si>
  <si>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</si>
  <si>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</si>
  <si>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</si>
  <si>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</si>
  <si>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</si>
  <si>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Huỷ đơn chờ JP261030KHH7 (xác nhận "Huỷ đơn JP261030KHH7?") → Đã huỷ; huỷ đơn đã kích hoạt JP261030SP5N qua API → 400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</si>
  <si>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</si>
  <si>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</si>
  <si>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</si>
  <si>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</si>
  <si>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</si>
  <si>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</si>
  <si>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</si>
  <si>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</si>
  <si>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</si>
  <si>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</si>
  <si>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</si>
  <si>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</si>
  <si>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</si>
  <si>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</si>
  <si>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</si>
  <si>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</si>
  <si>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Tin #3004: đẩy nổi bật → đến 06/11; đẩy lần nữa → 13/11 (cộng dồn 7 ngày); lượt 3 →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</si>
  <si>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</si>
  <si>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</si>
  <si>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</si>
  <si>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</si>
  <si>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</si>
  <si>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Đẩy nổi bật tin #3005 (Đã đóng) và #3006 (Bị từ chối) → 400 "Chỉ đẩy nổi bật được tin đang hiển thị"; lượt giữ nguyên 1</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</si>
  <si>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</si>
  <si>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</si>
  <si>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</si>
  <si>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</si>
  <si>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</si>
  <si>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</si>
  <si>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</si>
  <si>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</si>
  <si>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</si>
  <si>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</si>
  <si>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</si>
  <si>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</si>
  <si>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</si>
  <si>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</si>
  <si>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</si>
  <si>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</si>
  <si>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</si>
  <si>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</si>
  <si>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</si>
  <si>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</si>
  <si>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</si>
  <si>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</si>
  <si>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</si>
  <si>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Công ty QA NTD 01 (gói Cơ bản, còn 3 nổi bật / 20 liên hệ) đặt hết hạn hôm qua bằng script → đẩy nổi bật: "Cần có gói dịch vụ còn hạn để đẩy tin nổi bật."; mở liên hệ: "Cần có gói dịch vụ còn hạn để mở thông tin liên hệ."; không trừ lượt</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</si>
  <si>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</si>
  <si>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</si>
  <si>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</si>
  <si>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</si>
  <si>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</si>
  <si>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</si>
  <si>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</si>
  <si>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</si>
  <si>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Đơn A (#2002) và B (#2003) mới: mở xem A, nhắn tin cho B (201), chuyển A sang Phù hợp. Code: chỉ chuyển Phù hợp/Phỏng vấn/Offer/Từ chối (RESPONSE_STATUSES) và gửi tin nhắn mới gọi markResponded, xem đơn thì không. Số liệu trên trang tổng quan cập nhật mỗi giờ (ghi rõ trên trang) nên chưa quan sát được con số thay đổi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</si>
  <si>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</si>
  <si>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</si>
  <si>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</si>
  <si>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</si>
  <si>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</si>
  <si>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Đơn #2005 lùi 91 ngày, #2006 lùi 4 ngày (chưa phản hồi) → sau khi cập nhật số liệu: tỉ lệ 92% trên 13 hồ sơ (12/13) – #2005 không được tính (nếu tính sẽ là 13/14). Đã trả ngày tạo 2 đơn về hôm nay</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</si>
  <si>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</si>
  <si>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</si>
  <si>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</si>
  <si>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</si>
  <si>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</si>
  <si>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Đơn #2006 chờ 4 ngày → lượt chạy sau khởi động API: ntd1 và ntd3 nhận "1 hồ sơ đang chờ bạn phản hồi quá 3 ngày" (link /employer/applications?pending=1); lượt chạy tiếp theo (khởi động lại API)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</si>
  <si>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</si>
  <si>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</si>
  <si>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</si>
  <si>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</si>
  <si>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</si>
  <si>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Thẻ chỉ số hiện "1 hồ sơ chờ quá 3 ngày →" → mở /employer/applications?pending=1, chỉ có đơn của Phạm Thị Bình – QA – Đếm việc cần xử lý (26/10)</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</si>
  <si>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</si>
  <si>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</si>
  <si>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</si>
  <si>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</si>
  <si>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</si>
  <si>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</si>
  <si>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</si>
  <si>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</si>
  <si>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</si>
  <si>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</si>
  <si>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</si>
  <si>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</si>
  <si>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</si>
  <si>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</si>
  <si>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</si>
  <si>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</si>
  <si>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</si>
  <si>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Chọn "Điểm AI cao nhất": thứ tự 100, 85, 85, 85, 65, 62, 62, 30 …; các đơn chưa chấm (ai null) ở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</si>
  <si>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</si>
  <si>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</si>
  <si>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</si>
  <si>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</si>
  <si>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</si>
  <si>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</si>
  <si>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</si>
  <si>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</si>
  <si>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</si>
  <si>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</si>
  <si>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</si>
  <si>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Admin đặt aiScreeningPerDay = 0 → ntd1 chấm đơn → 403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</si>
  <si>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</si>
  <si>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</si>
  <si>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</si>
  <si>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</si>
  <si>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</si>
  <si>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aiScreeningPerDay = 2: ntd1 chấm 1 (65 điểm), ntd3 chấm 1 → ntd1 chấm đơn thứ 3 → 429 "Đã hết lượt AI chấm CV hôm nay…"; quota ntd1 và ntd3 đều 2/2 đã dùng. Đã trả cấu hình về 20</t>
  </si>
  <si>
    <t xml:space="preserve">TC-EMP16-007</t>
  </si>
  <si>
    <t xml:space="preserve">Chấm đơn đã rút</t>
  </si>
  <si>
    <t xml:space="preserve">1. ntd1 gọi API chấm đơn đó</t>
  </si>
  <si>
    <t xml:space="preserve">Báo "Ứng viên đã rút đơn"</t>
  </si>
  <si>
    <t xml:space="preserve">Chấm đơn #1010 (đã rút) → 400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</si>
  <si>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</si>
  <si>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</si>
  <si>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</si>
  <si>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</si>
  <si>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</si>
  <si>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</si>
  <si>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</si>
  <si>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</si>
  <si>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</si>
  <si>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</si>
  <si>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</si>
  <si>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</si>
  <si>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</si>
  <si>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</si>
  <si>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</si>
  <si>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</si>
  <si>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</si>
  <si>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</si>
  <si>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</si>
  <si>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</si>
  <si>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</si>
  <si>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</si>
  <si>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</si>
  <si>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</si>
  <si>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</si>
  <si>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</si>
  <si>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</si>
  <si>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uv2 mở "Chọn CV / viết thư giới thiệu": có dòng "CV và hồ sơ của bạn có thể được nhà tuyển dụng phân tích bằng công cụ AI để hỗ trợ sàng lọc; quyết định tuyển dụng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</si>
  <si>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</si>
  <si>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</si>
  <si>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</si>
  <si>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</si>
  <si>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</si>
  <si>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</si>
  <si>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</si>
  <si>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</si>
  <si>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</si>
  <si>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</si>
  <si>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</si>
  <si>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Tổng quan admin: chờ duyệt 2 → NTD gửi duyệt 1 tin → 3; menu "Duyệt tin 3"; duyệt 1 tin, tải lại trang → menu "Duyệt tin 2", tổng quan "2 tin tuyển dụng chờ duyệt"</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</si>
  <si>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</si>
  <si>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</si>
  <si>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</si>
  <si>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</si>
  <si>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</si>
  <si>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</si>
  <si>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</si>
  <si>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</si>
  <si>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</si>
  <si>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</si>
  <si>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Biểu đồ tăng trưởng: Theo ngày → bảng 30 dòng (1/10–30/10/2026); Theo tháng → 12 dòng (… Tháng 9/2026: 0, Tháng 10/2026: 19); có nút "Xem dạng bảng"</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</si>
  <si>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</si>
  <si>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</si>
  <si>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</si>
  <si>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</si>
  <si>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</si>
  <si>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</si>
  <si>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</si>
  <si>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</si>
  <si>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</si>
  <si>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</si>
  <si>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</si>
  <si>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</si>
  <si>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</si>
  <si>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</si>
  <si>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</si>
  <si>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</si>
  <si>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</si>
  <si>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</si>
  <si>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</si>
  <si>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</si>
  <si>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</si>
  <si>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</si>
  <si>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</si>
  <si>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</si>
  <si>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</si>
  <si>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</si>
  <si>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</si>
  <si>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</si>
  <si>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</si>
  <si>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</si>
  <si>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</si>
  <si>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Tin vừa duyệt: duyệt lại → "Chỉ duyệt được tin đang chờ duyệt"; từ chối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</si>
  <si>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</si>
  <si>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</si>
  <si>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</si>
  <si>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</si>
  <si>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Lọc Chờ duyệt → 3 tin đều PENDING; tìm "Phương Nam" → 3 tin của công ty Phương Nam; "ReactJS" → Lập trình viên ReactJS; Bị từ chối + "QA" → 3 tin đều REJECTED và có "QA"</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</si>
  <si>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</si>
  <si>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</si>
  <si>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</si>
  <si>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</si>
  <si>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</si>
  <si>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</si>
  <si>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</si>
  <si>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</si>
  <si>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</si>
  <si>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</si>
  <si>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</si>
  <si>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</si>
  <si>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</si>
  <si>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</si>
  <si>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</si>
  <si>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</si>
  <si>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</si>
  <si>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</si>
  <si>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</si>
  <si>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Thu hồi xác minh Công ty QA NTD 01 → REJECTED; trang công ty và thẻ tin verified=false (mất ✔); NTD nhận thông báo kèm lý do (tiêu đề dùng chung "Yêu cầu xác minh công ty bị từ chối"). Đã xác minh lại sau test</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</si>
  <si>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</si>
  <si>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</si>
  <si>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</si>
  <si>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</si>
  <si>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Xác minh công ty UNVERIFIED của qa.ntd12 → 400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</si>
  <si>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</si>
  <si>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</si>
  <si>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</si>
  <si>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</si>
  <si>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</si>
  <si>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</si>
  <si>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</si>
  <si>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</si>
  <si>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</si>
  <si>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</si>
  <si>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</si>
  <si>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</si>
  <si>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</si>
  <si>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</si>
  <si>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</si>
  <si>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</si>
  <si>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</si>
  <si>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Báo cáo #1005 về tin Thực tập sinh Tester → Cảnh cáo NTD → RESOLVED; ntd1 nhận "Cảnh cáo vi phạm từ quản trị viên – Liên quan tin … Tái phạm có thể bị khóa tài khoản."</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</si>
  <si>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</si>
  <si>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</si>
  <si>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</si>
  <si>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</si>
  <si>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</si>
  <si>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</si>
  <si>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</si>
  <si>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</si>
  <si>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</si>
  <si>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</si>
  <si>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</si>
  <si>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3 báo cáo mở (#1002–1004) của 3 ứng viên về tin Backend → xử lý #1002 → cả 3 RESOLVED</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</si>
  <si>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</si>
  <si>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</si>
  <si>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</si>
  <si>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</si>
  <si>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</si>
  <si>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Xử lý lại báo cáo #1005 (đã RESOLVED) → 400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</si>
  <si>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</si>
  <si>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</si>
  <si>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</si>
  <si>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</si>
  <si>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</si>
  <si>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Báo cáo #1006 về công ty, chọn HIDE_JOB → 400 "Chỉ ẩn được khi báo cáo là tin tuyển dụng"; sau đó bỏ qua báo cáo (DISMISSED)</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</si>
  <si>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</si>
  <si>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</si>
  <si>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</si>
  <si>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</si>
  <si>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</si>
  <si>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</si>
  <si>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</si>
  <si>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</si>
  <si>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</si>
  <si>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</si>
  <si>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</si>
  <si>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</si>
  <si>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</si>
  <si>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</si>
  <si>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</si>
  <si>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</si>
  <si>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</si>
  <si>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</si>
  <si>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</si>
  <si>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</si>
  <si>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</si>
  <si>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</si>
  <si>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</si>
  <si>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</si>
  <si>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</si>
  <si>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</si>
  <si>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</si>
  <si>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</si>
  <si>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</si>
  <si>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</si>
  <si>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</si>
  <si>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</si>
  <si>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</si>
  <si>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</si>
  <si>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Dùng qa.uv07: khoá → LOCKED; khoá lần 2 → 400 "Tài khoản đã bị khóa"; mở khoá uv1 (đang hoạt động) → 400 "Tài khoản không bị khóa". Đã mở khoá qa.uv07</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</si>
  <si>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</si>
  <si>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</si>
  <si>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</si>
  <si>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</si>
  <si>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</si>
  <si>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</si>
  <si>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Super admin tạo qa.admin2@test.local → 201 role ADMIN (isSuperAdmin=false); đăng nhập tài khoản mới → /auth/me role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</si>
  <si>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</si>
  <si>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</si>
  <si>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</si>
  <si>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</si>
  <si>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</si>
  <si>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Đăng nhập qa.admin (admin thường): trang Người dùng không có nút tạo admin; API tạo admin → 403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</si>
  <si>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</si>
  <si>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</si>
  <si>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</si>
  <si>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</si>
  <si>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</si>
  <si>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Tạo admin với email uv1@demo.local → 409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</si>
  <si>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</si>
  <si>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</si>
  <si>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</si>
  <si>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</si>
  <si>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</si>
  <si>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</si>
  <si>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</si>
  <si>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</si>
  <si>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</si>
  <si>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</si>
  <si>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</si>
  <si>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</si>
  <si>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</si>
  <si>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</si>
  <si>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</si>
  <si>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Thêm ngành "QA Kiểm thử" → có trong /api/catalog/categories (nguồn của bộ lọc và form đăng tin); sửa thành "QA Kiểm thử phần mềm" → danh mục công khai cập nhật</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</si>
  <si>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</si>
  <si>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</si>
  <si>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</si>
  <si>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</si>
  <si>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</si>
  <si>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</si>
  <si>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Thêm trùng tên → 409 "Ngành nghề \"QA Kiểm thử phần mềm\" đã tồn tại"; khác hoa/thường cũng bị chặn</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</si>
  <si>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</si>
  <si>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</si>
  <si>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</si>
  <si>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</si>
  <si>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</si>
  <si>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Ẩn ngành (isActive=false) → không còn trong danh mục công khai (bộ lọc, form đăng tin)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</si>
  <si>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</si>
  <si>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</si>
  <si>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</si>
  <si>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</si>
  <si>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</si>
  <si>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Xoá ngành CNTT → 400 "Ngành nghề đang được dùng 3 lần, không thể xóa. Bạn có thể ẩn ngành nghề này." Ngành QA (không dùng) xoá được</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</si>
  <si>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</si>
  <si>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</si>
  <si>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</si>
  <si>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</si>
  <si>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</si>
  <si>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Thêm kỹ năng QA-Skill → 201, xoá → 204 (không còn trong danh mục); thêm tỉnh "QA Tỉnh thử" → 201, xoá → 204</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</si>
  <si>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</si>
  <si>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</si>
  <si>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</si>
  <si>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</si>
  <si>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</si>
  <si>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Sửa trang Giới thiệu thêm "Đoạn QA kiểm thử 30/10." → /pages/gioi-thieu hiển thị đoạn mới. Đã trả nội dung cũ</t>
  </si>
  <si>
    <t xml:space="preserve">TC-ADM09-002</t>
  </si>
  <si>
    <t xml:space="preserve">Không xóa trang mặc định</t>
  </si>
  <si>
    <t xml:space="preserve">Trang Điều khoản</t>
  </si>
  <si>
    <t xml:space="preserve">Báo "Không xóa được trang mặc định, bạn có thể ẩn trang"</t>
  </si>
  <si>
    <t xml:space="preserve">Trang Điều khoản (mặc định) không xoá được: giao diện không có nút Xóa, chỉ có "Hiển thị công khai" để ẩn; API không có route xoá trang. Đề xuất sửa TC (bỏ bước "Bấm Xóa"); PagesService.remove() có câu thông báo nhưng chưa được dùng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</si>
  <si>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</si>
  <si>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</si>
  <si>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</si>
  <si>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</si>
  <si>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</si>
  <si>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Đặt banner "QA – Banner kiểm thử" và thông báo "QA bảo trì 22h" → trang chủ hiện cả hai. Đã trả về như cũ</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</si>
  <si>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</si>
  <si>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</si>
  <si>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</si>
  <si>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</si>
  <si>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</si>
  <si>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Tiêu đề banner 121 → "Tiêu đề banner trang chủ: tối đa 120 ký tự"; dòng phụ 201 → "…: tối đa 200 ký tự"; thông báo chung 301 → "Thông báo chung (…): tối đa 300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</si>
  <si>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</si>
  <si>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</si>
  <si>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</si>
  <si>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</si>
  <si>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</si>
  <si>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Đặt hạn nộp tối đa = 30 → NTD tạo tin hạn +31 ngày → 400 "Hạn nộp tối đa 30 ngày kể từ hôm nay" (có hiệu lực ngay). Đã trả về 90</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</si>
  <si>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</si>
  <si>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</si>
  <si>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</si>
  <si>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</si>
  <si>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</si>
  <si>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Hạn nộp tối đa = 6 và 366 → 400 "Hạn nộp tối đa khi đăng / gia hạn tin (ngày): phải là số nguyên từ 7 đến 365"</t>
  </si>
  <si>
    <t xml:space="preserve">TC-ADM10-003</t>
  </si>
  <si>
    <t xml:space="preserve">Giá trị cấu hình đúng biên</t>
  </si>
  <si>
    <t xml:space="preserve">7 và 365</t>
  </si>
  <si>
    <t xml:space="preserve">Lưu thành công</t>
  </si>
  <si>
    <t xml:space="preserve">jobMaxDays = 7 → lưu 7; = 365 → lưu 365; = 6 → 400 "…phải là số nguyên từ 7 đến 365". Đã trả về 90</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</si>
  <si>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</si>
  <si>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</si>
  <si>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</si>
  <si>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</si>
  <si>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</si>
  <si>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Nhật ký có bản ghi cho mỗi thao tác (SETTINGS_UPDATE, JOB_APPROVE, USER_LOCK…): người thực hiện (admin@jobportal.local), thời điểm, IP (::1), chi tiết (metadata thay đổi)</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</si>
  <si>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</si>
  <si>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</si>
  <si>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</si>
  <si>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</si>
  <si>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</si>
  <si>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Lọc nhật ký action=ORDER_CONFIRM → chỉ ORDER_CONFIRM (kèm mã đơn, số tiền, công ty); REVIEW_REJECT → chỉ REVIEW_REJECT; danh sách loại có 18 hành động</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</si>
  <si>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</si>
  <si>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</si>
  <si>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</si>
  <si>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</si>
  <si>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</si>
  <si>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/admin/emails: cột người nhận + tiêu đề, trạng thái, số lần thử, thời gian tạo/gửi; tab Tất cả / Chờ gửi / Lỗi / Đã gửi lọc đúng (Đã gửi 38, Lỗi 0). Chưa có email lỗi để xem "lỗi gần nhất" (cần SMTP sai – xem REL-002)</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</si>
  <si>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</si>
  <si>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</si>
  <si>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</si>
  <si>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</si>
  <si>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</si>
  <si>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2 đánh giá chờ (#3 uv2, #2002 uv1 – Phương Nam): hiện công ty, người viết, số sao, tiêu đề, điểm tốt/chưa tốt, nút Duyệt/Từ chối; menu "Duyệt đánh giá 2"</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</si>
  <si>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</si>
  <si>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</si>
  <si>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</si>
  <si>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</si>
  <si>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</si>
  <si>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</si>
  <si>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</si>
  <si>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</si>
  <si>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</si>
  <si>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</si>
  <si>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</si>
  <si>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</si>
  <si>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</si>
  <si>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</si>
  <si>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</si>
  <si>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</si>
  <si>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</si>
  <si>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</si>
  <si>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</si>
  <si>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</si>
  <si>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</si>
  <si>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</si>
  <si>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Gỡ đánh giá đã duyệt #1 (Sao Việt) lý do "Thông tin sai sự thật" → trang công ty chỉ còn #2; uv1 nhận "Đánh giá của bạn đã bị gỡ – Công ty TNHH Công nghệ Sao Việt (Demo): Thông tin sai sự thật"</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</si>
  <si>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</si>
  <si>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</si>
  <si>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</si>
  <si>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</si>
  <si>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</si>
  <si>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Duyệt #2 (đã duyệt) → 400 "Chỉ duyệt được đánh giá đang chờ duyệt"; từ chối #3 lần 2 → 400 "Đánh giá đã bị từ chối"</t>
  </si>
  <si>
    <t xml:space="preserve">TC-ADM12-007</t>
  </si>
  <si>
    <t xml:space="preserve">Ghi nhật ký</t>
  </si>
  <si>
    <t xml:space="preserve">admin vừa từ chối 1 đánh giá</t>
  </si>
  <si>
    <t xml:space="preserve">Có bản ghi REVIEW_REJECT với công ty và lý do</t>
  </si>
  <si>
    <t xml:space="preserve">Sau khi từ chối #3: /admin/audit có REVIEW_REJECT {company: Phương Nam, reason: "QA lượt 3 – nội dung thử"}</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</si>
  <si>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</si>
  <si>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</si>
  <si>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</si>
  <si>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</si>
  <si>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</si>
  <si>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</si>
  <si>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Danh sách đơn có mã, công ty, gói, số tiền, trạng thái; tìm "JP261030KH43" và "Phương Nam" đều ra đúng 1 đơn</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</si>
  <si>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</si>
  <si>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</si>
  <si>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</si>
  <si>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</si>
  <si>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</si>
  <si>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</si>
  <si>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</si>
  <si>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</si>
  <si>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</si>
  <si>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</si>
  <si>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</si>
  <si>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</si>
  <si>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</si>
  <si>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</si>
  <si>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</si>
  <si>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</si>
  <si>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</si>
  <si>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</si>
  <si>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A = Sao Việt (còn hạn 28/12, 1 lượt nổi bật) → xác nhận đơn Cơ bản: hạn 27/01/2027 (+30 ngày cộng dồn), nổi bật 4. B = QA NTD 01 (hết hạn, còn 3 lượt) → hạn mới từ hôm nay +30 ngày, nổi bật 3 (lượt cũ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</si>
  <si>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</si>
  <si>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</si>
  <si>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</si>
  <si>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</si>
  <si>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</si>
  <si>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Admin huỷ đơn chờ JP261030KH43 (ntd2) → CANCELLED; trang Gói dịch vụ của ntd2 hiện Đã huỷ, lý do "QA admin huỷ"</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</si>
  <si>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</si>
  <si>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</si>
  <si>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</si>
  <si>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</si>
  <si>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</si>
  <si>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</si>
  <si>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Sửa Cơ bản 1.090.000 đ, 4 lượt nổi bật → bảng giá hiện giá mới; đơn cũ JP261030SP5N giữ 990.000 đ, 3 lượt. Đã trả về giá cũ</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</si>
  <si>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</si>
  <si>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</si>
  <si>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</si>
  <si>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</si>
  <si>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</si>
  <si>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Ngừng bán Doanh nghiệp → bảng giá chỉ còn Cơ bản, Chuyên nghiệp; NTD mua gói đó → 404 "Gói dịch vụ không tồn tại hoặc đã ngừng bán". Đã bán lại</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</si>
  <si>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</si>
  <si>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</si>
  <si>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</si>
  <si>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</si>
  <si>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</si>
  <si>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Tháng 10: 3 đơn PAID (990.000 × 3), 1 đơn chờ, 4 đơn huỷ → doanh thu tháng 2.970.000 đ, paidThisMonth 3</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</si>
  <si>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</si>
  <si>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</si>
  <si>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</si>
  <si>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</si>
  <si>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</si>
  <si>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Đổi tài khoản nhận sang Techcombank – QA / 1234567890 / QA TEST / TCB → trang thanh toán đơn chờ của ntd2 hiện đúng; QR img.vietqr.io/image/TCB-1234567890…&amp;accountName=QA+TEST. Đã khôi phục cấu hình</t>
  </si>
  <si>
    <t xml:space="preserve">TC-ADM13-010</t>
  </si>
  <si>
    <t xml:space="preserve">Ghi nhật ký xác nhận đơn</t>
  </si>
  <si>
    <t xml:space="preserve">admin vừa xác nhận 1 đơn</t>
  </si>
  <si>
    <t xml:space="preserve">Có bản ghi ORDER_CONFIRM với mã đơn, số tiền, công ty</t>
  </si>
  <si>
    <t xml:space="preserve">/admin/audit: ORDER_CONFIRM order #2003 {code: JP261030N4W9, amount: 990000, company: Sao Việt} ngay sau khi xác nhận</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</si>
  <si>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</si>
  <si>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</si>
  <si>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</si>
  <si>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</si>
  <si>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</si>
  <si>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</si>
  <si>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</si>
  <si>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</si>
  <si>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</si>
  <si>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</si>
  <si>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</si>
  <si>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</si>
  <si>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</si>
  <si>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</si>
  <si>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</si>
  <si>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</si>
  <si>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</si>
  <si>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</si>
  <si>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Bấm mẫu "Chào bạn, mình là nhân viên hỗ trợ…" → chèn vào ô nhập; thêm " (QA)" rồi Gửi → uv1 nhận đúng nội dung đã sửa, cuộc chuyển OPEN</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</si>
  <si>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</si>
  <si>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</si>
  <si>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</si>
  <si>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</si>
  <si>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</si>
  <si>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Cuộc của uv1: "Nguyễn Văn An · Ứng viên", "uv1@demo.local · Xem tài khoản". Trạng thái tài khoản chỉ hiện khi bị khoá (nhãn "Đang bị khoá"); API trả status ACTIVE</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</si>
  <si>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</si>
  <si>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</si>
  <si>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</si>
  <si>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</si>
  <si>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</si>
  <si>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Đóng cuộc #1002 (xác nhận "Đóng cuộc hỗ trợ này?") → CLOSED; admin gửi tiếp → 400 "Cuộc hỗ trợ đã đóng"; uv1 nhắn tiếp → mở cuộc mới #1006</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</si>
  <si>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</si>
  <si>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</si>
  <si>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</si>
  <si>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</si>
  <si>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</si>
  <si>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</si>
  <si>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</si>
  <si>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</si>
  <si>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</si>
  <si>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</si>
  <si>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</si>
  <si>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</si>
  <si>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</si>
  <si>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</si>
  <si>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</si>
  <si>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</si>
  <si>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</si>
  <si>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</si>
  <si>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</si>
  <si>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</si>
  <si>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</si>
  <si>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</si>
  <si>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</si>
  <si>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</si>
  <si>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</si>
  <si>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</si>
  <si>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</si>
  <si>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Khách mở widget: ô tìm câu hỏi + 8 câu FAQ + "Đăng nhập để chat với trợ lý &amp; nhân viên hỗ trợ"; không có ô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</si>
  <si>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</si>
  <si>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</si>
  <si>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</si>
  <si>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</si>
  <si>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</si>
  <si>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</si>
  <si>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</si>
  <si>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</si>
  <si>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</si>
  <si>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</si>
  <si>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</si>
  <si>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</si>
  <si>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</si>
  <si>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Lần đầu Fail: uv1 hỏi "Công ty ABC có cho làm từ xa không?" → trợ lý trả lời FAQ "Đổi mật khẩu" (ghép với câu hỏi cũ – BUG-19). Sau khi sửa: "Mình chưa chắc đã hiểu đúng câu hỏi…" + gợi ý bấm "Gặp nhân viên"</t>
  </si>
  <si>
    <t xml:space="preserve">BUG-19</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</si>
  <si>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</si>
  <si>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</si>
  <si>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</si>
  <si>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</si>
  <si>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</si>
  <si>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</si>
  <si>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</si>
  <si>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</si>
  <si>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</si>
  <si>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</si>
  <si>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</si>
  <si>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qa.uv03 (chưa có cuộc) gọi escalate → 400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</si>
  <si>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</si>
  <si>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</si>
  <si>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</si>
  <si>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</si>
  <si>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</si>
  <si>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uv1 gõ "cho toi gap nhan vien" → cuộc #1002 WAITING, hiện "Chờ nhân viên"; qa.uv04 gửi "tôi muốn nói chuyện với nhân viên hỗ trợ" → WAITING</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</si>
  <si>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</si>
  <si>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</si>
  <si>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</si>
  <si>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</si>
  <si>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</si>
  <si>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ntd1 hỏi "Đăng tin tuyển dụng cần những bước nào?" → trợ lý trả lời FAQ đăng tin; Gặp nhân viên → WAITING; admin mở cuộc #1005 thấy "Trần Thị HR · Nhà tuyển dụng · Sao Việt"</t>
  </si>
  <si>
    <t xml:space="preserve">TC-ALL01-010</t>
  </si>
  <si>
    <t xml:space="preserve">1. Gửi từng tin</t>
  </si>
  <si>
    <t xml:space="preserve">2000 gửi được; 2001 báo "Tối đa 2000 ký tự"</t>
  </si>
  <si>
    <t xml:space="preserve">qa.uv05: 2001 ký tự → 400 "Tối đa 2000 ký tự"; 2000 ký tự → 201</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</si>
  <si>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</si>
  <si>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</si>
  <si>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</si>
  <si>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</si>
  <si>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</si>
  <si>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</si>
  <si>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</si>
  <si>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</si>
  <si>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</si>
  <si>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qa.uv06: 21 tin trong 60 giây → tin 21 → 429; Gặp nhân viên: lần 5 trong 10 phút (tính cả 1 lần trước đó cùng IP) → 429 "…thử lại sau 299 giây"</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</si>
  <si>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</si>
  <si>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</si>
  <si>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</si>
  <si>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</si>
  <si>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</si>
  <si>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uv1 bấm Kết thúc (xác nhận "Kết thúc cuộc hỗ trợ này?") → cuộc #2 CLOSED, widget về danh sách FAQ; câu hỏi mới mở cuộc #1002</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</si>
  <si>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</si>
  <si>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</si>
  <si>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</si>
  <si>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</si>
  <si>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</si>
  <si>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Tắt API → gửi tin: "Không kết nối được máy chủ, vui lòng thử lại sau", nội dung vẫn giữ trong ô nhập; bật API → bấm Gửi → gửi được, trợ lý trả lời. Ghi chú: không có nút "Thử lại" riêng, nút Gửi đóng vai trò thử lại – đề xuất sửa TC</t>
  </si>
  <si>
    <t xml:space="preserve">TC-ALL01-015</t>
  </si>
  <si>
    <t xml:space="preserve">Widget trên màn hình 360px</t>
  </si>
  <si>
    <t xml:space="preserve">1. Mở widget, chat vài câu</t>
  </si>
  <si>
    <t xml:space="preserve">Widget vừa màn hình, ô nhập không bị bàn phím ảo che, cuộn được</t>
  </si>
  <si>
    <t xml:space="preserve">360×740: widget rộng 328px (cách mép 16px), cao 560px, không tràn ngang; ô nhập ở 584–624px nằm trong khung; vùng tin nhắn overflow auto cuộn được. Bàn phím ảo không giả lập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</si>
  <si>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</si>
  <si>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</si>
  <si>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</si>
  <si>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</si>
  <si>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</si>
  <si>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</si>
  <si>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</si>
  <si>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</si>
  <si>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</si>
  <si>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</si>
  <si>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</si>
  <si>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</si>
  <si>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</si>
  <si>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</si>
  <si>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</si>
  <si>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</si>
  <si>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Gửi duyệt tin APPROVED (#1002) và CLOSED (#1006) → 400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</si>
  <si>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</si>
  <si>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</si>
  <si>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</si>
  <si>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</si>
  <si>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</si>
  <si>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Đóng tin DRAFT (#1005) và PENDING (#1004) → 400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</si>
  <si>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</si>
  <si>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</si>
  <si>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</si>
  <si>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</si>
  <si>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</si>
  <si>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Mở lại tin APPROVED (#1002) và DRAFT (#1005) → 400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</si>
  <si>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</si>
  <si>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</si>
  <si>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</si>
  <si>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</si>
  <si>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Admin gỡ tin PENDING (#1004) → 400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</si>
  <si>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</si>
  <si>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</si>
  <si>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</si>
  <si>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</si>
  <si>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</si>
  <si>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</si>
  <si>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</si>
  <si>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</si>
  <si>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</si>
  <si>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</si>
  <si>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</si>
  <si>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Tin #2010 hạn nộp 29/10/2026 (hôm nay) → duyệt → trang công khai 200, có trong kết quả tìm kiếm; qa.uv02 ứng tuyển → 201 SUBMITTED</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</si>
  <si>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</si>
  <si>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</si>
  <si>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</si>
  <si>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</si>
  <si>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</si>
  <si>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</si>
  <si>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</si>
  <si>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</si>
  <si>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</si>
  <si>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</si>
  <si>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</si>
  <si>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</si>
  <si>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</si>
  <si>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</si>
  <si>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</si>
  <si>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</si>
  <si>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</si>
  <si>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</si>
  <si>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</si>
  <si>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</si>
  <si>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</si>
  <si>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</si>
  <si>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</si>
  <si>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</si>
  <si>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</si>
  <si>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</si>
  <si>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</si>
  <si>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</si>
  <si>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</si>
  <si>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</si>
  <si>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</si>
  <si>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</si>
  <si>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</si>
  <si>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</si>
  <si>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</si>
  <si>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</si>
  <si>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</si>
  <si>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</si>
  <si>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</si>
  <si>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Đơn #11 Từ chối → Phù hợp → 200 SHORTLISTED (bước tiếp theo: Phỏng vấn / Offer / Từ chối)</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</si>
  <si>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</si>
  <si>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</si>
  <si>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</si>
  <si>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</si>
  <si>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</si>
  <si>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</si>
  <si>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</si>
  <si>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</si>
  <si>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</si>
  <si>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</si>
  <si>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</si>
  <si>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</si>
  <si>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</si>
  <si>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</si>
  <si>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Đơn #11 Từ chối → Phỏng vấn và → Offer → đều 400 "Không thể chuyển sang trạng thái này"</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</si>
  <si>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</si>
  <si>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</si>
  <si>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</si>
  <si>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</si>
  <si>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</si>
  <si>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</si>
  <si>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</si>
  <si>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</si>
  <si>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</si>
  <si>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</si>
  <si>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Đơn #10 Phù hợp → Đã xem: 400 "Không thể chuyển sang trạng thái này"; → Đã nộp: 400 "Trạng thái không hợp lệ"</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</si>
  <si>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</si>
  <si>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</si>
  <si>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</si>
  <si>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</si>
  <si>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</si>
  <si>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</si>
  <si>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</si>
  <si>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</si>
  <si>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</si>
  <si>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</si>
  <si>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</si>
  <si>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qa.ntd12 tạo công ty không có MST → gửi giấy phép → 400 "Vui lòng cập nhật mã số thuế trước khi gửi xác minh"</t>
  </si>
  <si>
    <t xml:space="preserve">TC-S53-003</t>
  </si>
  <si>
    <t xml:space="preserve">Từ chối khi không có yêu cầu xác minh</t>
  </si>
  <si>
    <t xml:space="preserve">Công ty UNVERIFIED (chưa gửi giấy phép). Lưu ý: từ chối công ty VERIFIED là thu hồi xác minh – hợp lệ theo §5.3</t>
  </si>
  <si>
    <t xml:space="preserve">1. Admin gọi API từ chối xác minh</t>
  </si>
  <si>
    <t xml:space="preserve">Báo "Không có yêu cầu xác minh để từ chối"</t>
  </si>
  <si>
    <t xml:space="preserve">Admin từ chối xác minh công ty UNVERIFIED (chưa gửi, #2003) → 400 "Không có yêu cầu xác minh để từ chối". TC ghi tiền điều kiện "VERIFIED" là sai: theo PRD §5.3 từ chối công ty đã xác minh = thu hồi xác minh (hợp lệ, đã test ở S53-001) – đề xuất sửa tiền điều kiện thành UNVERIFIED</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</si>
  <si>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</si>
  <si>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</si>
  <si>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</si>
  <si>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</si>
  <si>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</si>
  <si>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</si>
  <si>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</si>
  <si>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</si>
  <si>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</si>
  <si>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</si>
  <si>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</si>
  <si>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</si>
  <si>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</si>
  <si>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</si>
  <si>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</si>
  <si>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</si>
  <si>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</si>
  <si>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</si>
  <si>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</si>
  <si>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</si>
  <si>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</si>
  <si>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</si>
  <si>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</si>
  <si>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</si>
  <si>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</si>
  <si>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</si>
  <si>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</si>
  <si>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</si>
  <si>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</si>
  <si>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</si>
  <si>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</si>
  <si>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</si>
  <si>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</si>
  <si>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</si>
  <si>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</si>
  <si>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/api/uploads/public/../../.env, ..%2f..%2f.env, %2e%2e/%2e%2e/package.json, ..%5c..%5c.env → 404; /api/files/signed/..%2f..%2fetc%2fpasswd và token tự chế trỏ ../../.env → 403 "Link tải file không hợp lệ…"; không lộ nội dung file</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</si>
  <si>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</si>
  <si>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</si>
  <si>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</si>
  <si>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</si>
  <si>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</si>
  <si>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Đăng nhập với email "' OR 1=1--", "'; DROP TABLE users;--"… → 400 "Email không hợp lệ"; email đúng + mật khẩu "' OR '1'='1" → 401; tìm việc / công ty với chuỗi SQL → 200, 0 kết quả; không lỗi 500, bảng users vẫn hoạt động</t>
  </si>
  <si>
    <t xml:space="preserve">TC-SEC-008</t>
  </si>
  <si>
    <t xml:space="preserve">Body request quá 1MB</t>
  </si>
  <si>
    <t xml:space="preserve">JSON 1,5MB</t>
  </si>
  <si>
    <t xml:space="preserve">1. Gửi tới API bất kỳ</t>
  </si>
  <si>
    <t xml:space="preserve">Trả 413</t>
  </si>
  <si>
    <t xml:space="preserve">Lần đầu Fail – BUG-11: body 1,1MB → 500 "Lỗi máy chủ…" (lỗi body-parser không được nhận ra). Đã sửa filter + gắn X-Request-Id sớm; retest: 1,1MB → 413 "Dữ liệu / file vượt quá dung lượng cho phép" kèm X-Request-Id; 900KB → xử lý bình thường (401)</t>
  </si>
  <si>
    <t xml:space="preserve">BUG-11</t>
  </si>
  <si>
    <t xml:space="preserve">TC-SEC-009</t>
  </si>
  <si>
    <t xml:space="preserve">Header bảo mật (Helmet)</t>
  </si>
  <si>
    <t xml:space="preserve">1. Xem response header của API</t>
  </si>
  <si>
    <t xml:space="preserve">Có X-Content-Type-Options, X-Frame-Options/CSP…; không có X-Powered-By</t>
  </si>
  <si>
    <t xml:space="preserve">Header API: X-Content-Type-Options nosniff, X-Frame-Options SAMEORIGIN, Content-Security-Policy, Strict-Transport-Security, Referrer-Policy no-referrer, Cross-Origin-Opener-Policy;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</si>
  <si>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</si>
  <si>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</si>
  <si>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</si>
  <si>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</si>
  <si>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</si>
  <si>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curl trên máy người dùng (scripts/kiem-tra-cors.cmd): Origin https://evil.example → không có Access-Control-Allow-Origin (cả GET và preflight OPTIONS); Origin http://localhost:5173 → Access-Control-Allow-Origin: http://localhost:5173</t>
  </si>
  <si>
    <t xml:space="preserve">TC-SEC-011</t>
  </si>
  <si>
    <t xml:space="preserve">Rate limit chung 300 request/phút/IP</t>
  </si>
  <si>
    <t xml:space="preserve">1. Gửi 301 request trong 1 phút tới API công khai (k6/JMeter)</t>
  </si>
  <si>
    <t xml:space="preserve">Request vượt ngưỡng nhận 429</t>
  </si>
  <si>
    <t xml:space="preserve">Gửi 320 request /api/catalog/locations trong ~2 giây → 300 cái 200, từ request thứ 301 trả 429 "Bạn thao tác quá nhanh, vui lòng thử lại sau 58 giây". Ghi chú: không có header Retry-After</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</si>
  <si>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</si>
  <si>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</si>
  <si>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</si>
  <si>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</si>
  <si>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</si>
  <si>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Lỗi 500 (trước khi sửa BUG-11) và lỗi không xác định trong unit test: chỉ "Lỗi máy chủ, vui lòng thử lại sau" + requestId, không có stack trace / câu SQL; 404 có X-Request-Id trùng requestId trong body</t>
  </si>
  <si>
    <t xml:space="preserve">TC-SEC-013</t>
  </si>
  <si>
    <t xml:space="preserve">Swagger tắt ở production</t>
  </si>
  <si>
    <t xml:space="preserve">Bản build production</t>
  </si>
  <si>
    <t xml:space="preserve">1. Mở /api/docs</t>
  </si>
  <si>
    <t xml:space="preserve">Không truy cập được</t>
  </si>
  <si>
    <t xml:space="preserve">scripts/qa-prod-swagger.cmd: build + chạy NODE_ENV=production cổng 3011 → /api/docs 404, /api/docs-json 404, /api/health 200. Bản production từ chối khởi động với JWT_ACCESS_SECRET của .env dev (đúng thiết kế) – lần chạy thử dùng khoá ngẫu nhiên</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</si>
  <si>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</si>
  <si>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</si>
  <si>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</si>
  <si>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</si>
  <si>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</si>
  <si>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</si>
  <si>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</si>
  <si>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Chưa có script sinh 50.000 tin và k6 trên máy; cần môi trường hiệu năng riêng</t>
  </si>
  <si>
    <t xml:space="preserve">TC-PERF-002</t>
  </si>
  <si>
    <t xml:space="preserve">LCP trang chủ / danh sách &lt; 2,5s trên 4G</t>
  </si>
  <si>
    <t xml:space="preserve">1. Chạy Lighthouse (mobile, Slow 4G)</t>
  </si>
  <si>
    <t xml:space="preserve">LCP &lt; 2,5 giây</t>
  </si>
  <si>
    <t xml:space="preserve">Cần bản build production của web + API chạy cùng nhau và Lighthouse (mobile, Slow 4G); chưa có môi trường này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</si>
  <si>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</si>
  <si>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</si>
  <si>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</si>
  <si>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</si>
  <si>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</si>
  <si>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limit=1000 ở /api/jobs, /api/companies, /api/admin/users → 400 "limit must not be greater than 50" (OBS-02: câu tiếng Anh)</t>
  </si>
  <si>
    <t xml:space="preserve">TC-REL-001</t>
  </si>
  <si>
    <t xml:space="preserve">Mỗi response có X-Request-Id</t>
  </si>
  <si>
    <t xml:space="preserve">1. Gọi API bất kỳ, xem header</t>
  </si>
  <si>
    <t xml:space="preserve">Có X-Request-Id; trùng với log của API</t>
  </si>
  <si>
    <t xml:space="preserve">Mọi response có X-Request-Id (vd. GET /api/jobs). Lỗi 401: header X-Request-Id = requestId trong body (83878982-…); log terminal API không xem được từ trình duyệt</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</si>
  <si>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</si>
  <si>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</si>
  <si>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</si>
  <si>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</si>
  <si>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</si>
  <si>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Cần sửa cấu hình SMTP sai rồi khởi động lại API; để lượt sau khi người dùng đồng ý</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</si>
  <si>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</si>
  <si>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</si>
  <si>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</si>
  <si>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</si>
  <si>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</si>
  <si>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scripts/qa-backup-restore.cmd: BACKUP WITH CHECKSUM 1650 trang; RESTORE VERIFYONLY "The backup set on file 1 is valid"; khôi phục sang DB tạm, 10 bảng chính khớp số dòng (users 23, jobs 24, applications 25, …); đã xoá DB tạm và file .bak</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</si>
  <si>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</si>
  <si>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</si>
  <si>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</si>
  <si>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</si>
  <si>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</si>
  <si>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360×740: /, /jobs, chi tiết tin, trang công ty, /employer, /employer/jobs, /employer/company, /admin/* scrollWidth = 360 (không tràn); menu mobile mở/đóng được; bảng /admin/users, /admin/emails cuộn ngang (overflow-x auto); modal Báo cáo tin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</si>
  <si>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</si>
  <si>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</si>
  <si>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</si>
  <si>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</si>
  <si>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Badge trạng thái ở /admin/jobs, companies, users, emails, reports đều có chữ ("Chờ duyệt", "Đang chờ duyệt", "Hoạt động", "Đã gửi"…); 0 badge chỉ có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</si>
  <si>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</si>
  <si>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</si>
  <si>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</si>
  <si>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</si>
  <si>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</si>
  <si>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Giả lập mạng chậm (trễ 3 giây mỗi request): /jobs và /admin/users hiện 24 khối skeleton; empty state phía người dùng có gợi ý (vd. "Bạn chưa lưu việc làm nào. Bấm ♡…"), phía admin chỉ có câu ngắn; lưu trang tĩnh hiện "Đã lưu trang"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</si>
  <si>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</si>
  <si>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</si>
  <si>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</si>
  <si>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</si>
  <si>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</si>
  <si>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Đăng ký sai: lỗi dưới từng ô "Email không hợp lệ", "Mật khẩu 8–64 ký tự, gồm cả chữ và số", "Mật khẩu nhập lại không khớp", không gửi request; câu và quy tắc trùng API. Hồ sơ (ngày sinh 1940–hôm nay) và đăng tin (lương) dùng lib/schemas.ts cùng quy tắc API (đã kiểm ở BUG-09/12)</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</si>
  <si>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</si>
  <si>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</si>
  <si>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</si>
  <si>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</si>
  <si>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Tab đầu tiên: liên kết "Bỏ qua tới nội dung" (#main) hiện ra với viền focus; logo, menu có viền focus rõ. Nút ‹ › phân trang thiếu nhãn ARIA (BUG-20) – đã thêm "Trang trước"/"Trang sau"/"Trang n"; các nút biểu tượng khác có aria-label</t>
  </si>
  <si>
    <t xml:space="preserve">BUG-20</t>
  </si>
  <si>
    <t xml:space="preserve">TC-UI-006</t>
  </si>
  <si>
    <t xml:space="preserve">Trang 404 và 403</t>
  </si>
  <si>
    <t xml:space="preserve">/khong-ton-tai; uv1 mở /admin</t>
  </si>
  <si>
    <t xml:space="preserve">Hiện trang 404 / 403 thân thiện, có link về trang chủ</t>
  </si>
  <si>
    <t xml:space="preserve">/khong-ton-tai → "404 · Không tìm thấy trang bạn yêu cầu." + "← Về trang chủ"; uv1 mở /admin → /403 "Bạn không có quyền truy cập trang này." + "←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</si>
  <si>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</si>
  <si>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</si>
  <si>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</si>
  <si>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</si>
  <si>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</si>
  <si>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Mỗi trang có title/description riêng: trang chủ "JobPortal – Tìm việc làm"; /jobs "Việc làm | JobPortal"; tin "Backend Developer (NestJS) – Công ty… | JobPortal" + mô tả có công ty, nơi làm, lương; trang công ty, danh sách công ty tương tự</t>
  </si>
  <si>
    <t xml:space="preserve">TC-SEO-002</t>
  </si>
  <si>
    <t xml:space="preserve">JobPosting schema</t>
  </si>
  <si>
    <t xml:space="preserve">1. Mở chi tiết tin
2. Kiểm tra bằng Rich Results Test hoặc xem JSON-LD</t>
  </si>
  <si>
    <t xml:space="preserve">Có JSON-LD JobPosting hợp lệ</t>
  </si>
  <si>
    <t xml:space="preserve">Trang tin có JSON-LD @type JobPosting: title, hiringOrganization, datePosted, validThrough, jobLocation (Hà Nội), employmentType FULL_TIME, description</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</si>
  <si>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</si>
  <si>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</si>
  <si>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</si>
  <si>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</si>
  <si>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/api/sitemap.xml: 23 URL – đúng 11 tin đang hiển thị (không có tin đóng/nháp), 6 công ty, 3 trang tĩnh, trang chủ, /jobs, /companies; robots.txt chặn /candidate/, /employer/, /admin/, /account/, /notifications và khai báo Sitemap</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</si>
  <si>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</si>
  <si>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</si>
  <si>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</si>
  <si>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</si>
  <si>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</si>
  <si>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</si>
  <si>
    <t xml:space="preserve">Chỉ có trình duyệt Chromium tích hợp; chưa có Edge/Firefox/Safari/iOS/Android để chạy</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</si>
</sst>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row r="19" customFormat="false" ht="41.25" hidden="false" customHeight="true" outlineLevel="0" collapsed="false">
      <c r="A19" s="5" t="s">
        <v>28</v>
      </c>
      <c r="B19" s="5" t="s">
        <v>86</v>
      </c>
      <c r="C19" s="5" t="s">
        <v>87</v>
      </c>
      <c r="D19" s="5" t="s">
        <v>88</v>
      </c>
      <c r="E19" s="5" t="s">
        <v>89</v>
      </c>
      <c r="F19" s="5" t="s">
        <v>90</v>
      </c>
    </row>
    <row r="20" customFormat="false" ht="41.25" hidden="false" customHeight="true" outlineLevel="0" collapsed="false">
      <c r="A20" s="5" t="s">
        <v>28</v>
      </c>
      <c r="B20" s="5" t="s">
        <v>91</v>
      </c>
      <c r="C20" s="5" t="s">
        <v>92</v>
      </c>
      <c r="D20" s="5" t="s">
        <v>93</v>
      </c>
      <c r="E20" s="5" t="s">
        <v>94</v>
      </c>
      <c r="F20" s="5" t="s">
        <v>95</v>
      </c>
    </row>
    <row r="21" customFormat="false" ht="54.75" hidden="false" customHeight="true" outlineLevel="0" collapsed="false">
      <c r="A21" s="5" t="s">
        <v>96</v>
      </c>
      <c r="B21" s="5" t="s">
        <v>97</v>
      </c>
      <c r="C21" s="5" t="s">
        <v>98</v>
      </c>
      <c r="D21" s="5" t="s">
        <v>99</v>
      </c>
      <c r="E21" s="5" t="s">
        <v>100</v>
      </c>
      <c r="F21" s="5" t="s">
        <v>101</v>
      </c>
    </row>
    <row r="22" customFormat="false" ht="41.25" hidden="false" customHeight="true" outlineLevel="0" collapsed="false">
      <c r="A22" s="5" t="s">
        <v>96</v>
      </c>
      <c r="B22" s="5" t="s">
        <v>102</v>
      </c>
      <c r="C22" s="5" t="s">
        <v>103</v>
      </c>
      <c r="D22" s="5" t="s">
        <v>104</v>
      </c>
      <c r="E22" s="5" t="s">
        <v>105</v>
      </c>
      <c r="F22" s="5" t="s">
        <v>106</v>
      </c>
    </row>
    <row r="23" customFormat="false" ht="41.25" hidden="false" customHeight="true" outlineLevel="0" collapsed="false">
      <c r="A23" s="5" t="s">
        <v>96</v>
      </c>
      <c r="B23" s="5" t="s">
        <v>107</v>
      </c>
      <c r="C23" s="5" t="s">
        <v>108</v>
      </c>
      <c r="D23" s="5" t="s">
        <v>109</v>
      </c>
      <c r="E23" s="5" t="s">
        <v>32</v>
      </c>
      <c r="F23" s="5" t="s">
        <v>110</v>
      </c>
    </row>
    <row r="24" customFormat="false" ht="15" hidden="false" customHeight="true" outlineLevel="0" collapsed="false">
      <c r="A24" s="5" t="s">
        <v>96</v>
      </c>
      <c r="B24" s="5"/>
      <c r="C24" s="5" t="s">
        <v>111</v>
      </c>
      <c r="D24" s="5" t="s">
        <v>31</v>
      </c>
      <c r="E24" s="5" t="s">
        <v>32</v>
      </c>
      <c r="F24" s="5" t="s">
        <v>112</v>
      </c>
    </row>
    <row r="25" customFormat="false" ht="15" hidden="false" customHeight="true" outlineLevel="0" collapsed="false">
      <c r="A25" s="5" t="s">
        <v>96</v>
      </c>
      <c r="B25" s="5"/>
      <c r="C25" s="5" t="s">
        <v>111</v>
      </c>
      <c r="D25" s="5" t="s">
        <v>113</v>
      </c>
      <c r="E25" s="5" t="s">
        <v>32</v>
      </c>
      <c r="F25" s="5" t="s">
        <v>114</v>
      </c>
    </row>
    <row r="26" customFormat="false" ht="41.25" hidden="false" customHeight="true" outlineLevel="0" collapsed="false">
      <c r="A26" s="5" t="s">
        <v>96</v>
      </c>
      <c r="B26" s="5"/>
      <c r="C26" s="5" t="s">
        <v>111</v>
      </c>
      <c r="D26" s="5" t="s">
        <v>36</v>
      </c>
      <c r="E26" s="5" t="s">
        <v>32</v>
      </c>
      <c r="F26" s="5" t="s">
        <v>115</v>
      </c>
    </row>
    <row r="27" customFormat="false" ht="27.75" hidden="false" customHeight="true" outlineLevel="0" collapsed="false">
      <c r="A27" s="5" t="s">
        <v>96</v>
      </c>
      <c r="B27" s="5"/>
      <c r="C27" s="5" t="s">
        <v>111</v>
      </c>
      <c r="D27" s="5" t="s">
        <v>38</v>
      </c>
      <c r="E27" s="5" t="s">
        <v>32</v>
      </c>
      <c r="F27" s="5" t="s">
        <v>116</v>
      </c>
    </row>
    <row r="28" customFormat="false" ht="41.25" hidden="false" customHeight="true" outlineLevel="0" collapsed="false">
      <c r="A28" s="5" t="s">
        <v>96</v>
      </c>
      <c r="B28" s="5"/>
      <c r="C28" s="5" t="s">
        <v>111</v>
      </c>
      <c r="D28" s="5" t="s">
        <v>40</v>
      </c>
      <c r="E28" s="5" t="s">
        <v>32</v>
      </c>
      <c r="F28" s="5" t="s">
        <v>117</v>
      </c>
    </row>
    <row r="29" customFormat="false" ht="54.75" hidden="false" customHeight="true" outlineLevel="0" collapsed="false">
      <c r="A29" s="5" t="s">
        <v>96</v>
      </c>
      <c r="B29" s="5"/>
      <c r="C29" s="5" t="s">
        <v>118</v>
      </c>
      <c r="D29" s="5" t="s">
        <v>119</v>
      </c>
      <c r="E29" s="5" t="s">
        <v>32</v>
      </c>
      <c r="F29" s="5" t="s">
        <v>120</v>
      </c>
    </row>
    <row r="30" customFormat="false" ht="27.75" hidden="false" customHeight="true" outlineLevel="0" collapsed="false">
      <c r="A30" s="5" t="s">
        <v>96</v>
      </c>
      <c r="B30" s="5"/>
      <c r="C30" s="5" t="s">
        <v>118</v>
      </c>
      <c r="D30" s="5" t="s">
        <v>121</v>
      </c>
      <c r="E30" s="5" t="s">
        <v>32</v>
      </c>
      <c r="F30" s="5" t="s">
        <v>122</v>
      </c>
    </row>
    <row r="31" customFormat="false" ht="68.25" hidden="false" customHeight="true" outlineLevel="0" collapsed="false">
      <c r="A31" s="5" t="s">
        <v>96</v>
      </c>
      <c r="B31" s="5"/>
      <c r="C31" s="5" t="s">
        <v>118</v>
      </c>
      <c r="D31" s="5" t="s">
        <v>123</v>
      </c>
      <c r="E31" s="5" t="s">
        <v>32</v>
      </c>
      <c r="F31" s="5" t="s">
        <v>124</v>
      </c>
    </row>
    <row r="32" customFormat="false" ht="27.75" hidden="false" customHeight="true" outlineLevel="0" collapsed="false">
      <c r="A32" s="5" t="s">
        <v>96</v>
      </c>
      <c r="B32" s="5"/>
      <c r="C32" s="5" t="s">
        <v>118</v>
      </c>
      <c r="D32" s="5" t="s">
        <v>125</v>
      </c>
      <c r="E32" s="5" t="s">
        <v>32</v>
      </c>
      <c r="F32" s="5" t="s">
        <v>126</v>
      </c>
    </row>
    <row r="33" customFormat="false" ht="41.25" hidden="false" customHeight="true" outlineLevel="0" collapsed="false">
      <c r="A33" s="5" t="s">
        <v>96</v>
      </c>
      <c r="B33" s="5"/>
      <c r="C33" s="5" t="s">
        <v>118</v>
      </c>
      <c r="D33" s="5" t="s">
        <v>127</v>
      </c>
      <c r="E33" s="5" t="s">
        <v>32</v>
      </c>
      <c r="F33" s="5" t="s">
        <v>128</v>
      </c>
    </row>
    <row r="34" customFormat="false" ht="68.25" hidden="false" customHeight="true" outlineLevel="0" collapsed="false">
      <c r="A34" s="5" t="s">
        <v>96</v>
      </c>
      <c r="B34" s="5"/>
      <c r="C34" s="5" t="s">
        <v>55</v>
      </c>
      <c r="D34" s="5" t="s">
        <v>129</v>
      </c>
      <c r="E34" s="5" t="s">
        <v>57</v>
      </c>
      <c r="F34" s="5" t="s">
        <v>130</v>
      </c>
    </row>
    <row r="35" customFormat="false" ht="15" hidden="false" customHeight="true" outlineLevel="0" collapsed="false">
      <c r="A35" s="5" t="s">
        <v>96</v>
      </c>
      <c r="B35" s="5"/>
      <c r="C35" s="5" t="s">
        <v>131</v>
      </c>
      <c r="D35" s="5" t="s">
        <v>132</v>
      </c>
      <c r="E35" s="5" t="s">
        <v>32</v>
      </c>
      <c r="F35" s="5" t="s">
        <v>133</v>
      </c>
    </row>
    <row r="36" customFormat="false" ht="54.75" hidden="false" customHeight="true" outlineLevel="0" collapsed="false">
      <c r="A36" s="5" t="s">
        <v>96</v>
      </c>
      <c r="B36" s="5" t="s">
        <v>134</v>
      </c>
      <c r="C36" s="5" t="s">
        <v>135</v>
      </c>
      <c r="D36" s="5" t="s">
        <v>136</v>
      </c>
      <c r="E36" s="5" t="s">
        <v>137</v>
      </c>
      <c r="F36" s="5" t="s">
        <v>138</v>
      </c>
    </row>
    <row r="37" customFormat="false" ht="41.25" hidden="false" customHeight="true" outlineLevel="0" collapsed="false">
      <c r="A37" s="5" t="s">
        <v>96</v>
      </c>
      <c r="B37" s="5" t="s">
        <v>139</v>
      </c>
      <c r="C37" s="5" t="s">
        <v>140</v>
      </c>
      <c r="D37" s="5" t="s">
        <v>141</v>
      </c>
      <c r="E37" s="5" t="s">
        <v>142</v>
      </c>
      <c r="F37" s="5" t="s">
        <v>143</v>
      </c>
    </row>
    <row r="38" customFormat="false" ht="41.25" hidden="false" customHeight="true" outlineLevel="0" collapsed="false">
      <c r="A38" s="5" t="s">
        <v>96</v>
      </c>
      <c r="B38" s="5" t="s">
        <v>144</v>
      </c>
      <c r="C38" s="5" t="s">
        <v>145</v>
      </c>
      <c r="D38" s="5" t="s">
        <v>146</v>
      </c>
      <c r="E38" s="5" t="s">
        <v>147</v>
      </c>
      <c r="F38" s="5" t="s">
        <v>148</v>
      </c>
    </row>
    <row r="39" customFormat="false" ht="82.05" hidden="false" customHeight="false" outlineLevel="0" collapsed="false">
      <c r="A39" s="5" t="s">
        <v>96</v>
      </c>
      <c r="B39" s="5" t="s">
        <v>149</v>
      </c>
      <c r="C39" s="5" t="s">
        <v>150</v>
      </c>
      <c r="D39" s="5" t="s">
        <v>151</v>
      </c>
      <c r="E39" s="5" t="s">
        <v>152</v>
      </c>
      <c r="F39" s="5"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154</v>
      </c>
      <c r="B1" s="6" t="s">
        <v>155</v>
      </c>
      <c r="C1" s="6" t="s">
        <v>156</v>
      </c>
      <c r="D1" s="6" t="s">
        <v>157</v>
      </c>
      <c r="E1" s="6" t="s">
        <v>158</v>
      </c>
      <c r="F1" s="6" t="s">
        <v>159</v>
      </c>
      <c r="G1" s="6" t="s">
        <v>32</v>
      </c>
      <c r="H1" s="6" t="s">
        <v>160</v>
      </c>
      <c r="I1" s="6" t="s">
        <v>161</v>
      </c>
      <c r="J1" s="6" t="s">
        <v>162</v>
      </c>
      <c r="K1" s="6" t="s">
        <v>163</v>
      </c>
      <c r="L1" s="6" t="s">
        <v>164</v>
      </c>
      <c r="M1" s="6" t="s">
        <v>165</v>
      </c>
    </row>
    <row r="2" customFormat="false" ht="15" hidden="false" customHeight="true" outlineLevel="0" collapsed="false">
      <c r="A2" s="7" t="s">
        <v>166</v>
      </c>
      <c r="B2" s="7" t="n">
        <f aca="false">COUNTA('Xác thực'!A:A)-1</f>
        <v>44</v>
      </c>
      <c r="C2" s="7" t="n">
        <f aca="false">COUNTIF('Xác thực'!I:I,"P0")</f>
        <v>29</v>
      </c>
      <c r="D2" s="7" t="n">
        <f aca="false">COUNTIF('Xác thực'!I:I,"P1")</f>
        <v>14</v>
      </c>
      <c r="E2" s="7" t="n">
        <f aca="false">COUNTIF('Xác thực'!I:I,"P2")</f>
        <v>1</v>
      </c>
      <c r="F2" s="7" t="n">
        <f aca="false">G2+H2+I2+J2</f>
        <v>44</v>
      </c>
      <c r="G2" s="7" t="n">
        <f aca="false">COUNTIF('Xác thực'!L:L,"Pass")</f>
        <v>44</v>
      </c>
      <c r="H2" s="7" t="n">
        <f aca="false">COUNTIF('Xác thực'!L:L,"Fail")</f>
        <v>0</v>
      </c>
      <c r="I2" s="7" t="n">
        <f aca="false">COUNTIF('Xác thực'!L:L,"Blocked")</f>
        <v>0</v>
      </c>
      <c r="J2" s="7" t="n">
        <f aca="false">COUNTIF('Xác thực'!L:L,"Skip")</f>
        <v>0</v>
      </c>
      <c r="K2" s="7" t="n">
        <f aca="false">B2-F2</f>
        <v>0</v>
      </c>
      <c r="L2" s="8" t="n">
        <f aca="false">IF(B2=0,0,F2/B2)</f>
        <v>1</v>
      </c>
      <c r="M2" s="8" t="n">
        <f aca="false">IF(F2=0,0,G2/F2)</f>
        <v>1</v>
      </c>
    </row>
    <row r="3" customFormat="false" ht="15" hidden="false" customHeight="true" outlineLevel="0" collapsed="false">
      <c r="A3" s="7" t="s">
        <v>167</v>
      </c>
      <c r="B3" s="7" t="n">
        <f aca="false">COUNTA('Ứng viên'!A:A)-1</f>
        <v>146</v>
      </c>
      <c r="C3" s="7" t="n">
        <f aca="false">COUNTIF('Ứng viên'!I:I,"P0")</f>
        <v>44</v>
      </c>
      <c r="D3" s="7" t="n">
        <f aca="false">COUNTIF('Ứng viên'!I:I,"P1")</f>
        <v>67</v>
      </c>
      <c r="E3" s="7" t="n">
        <f aca="false">COUNTIF('Ứng viên'!I:I,"P2")</f>
        <v>35</v>
      </c>
      <c r="F3" s="7" t="n">
        <f aca="false">G3+H3+I3+J3</f>
        <v>146</v>
      </c>
      <c r="G3" s="7" t="n">
        <f aca="false">COUNTIF('Ứng viên'!L:L,"Pass")</f>
        <v>146</v>
      </c>
      <c r="H3" s="7" t="n">
        <f aca="false">COUNTIF('Ứng viên'!L:L,"Fail")</f>
        <v>0</v>
      </c>
      <c r="I3" s="7" t="n">
        <f aca="false">COUNTIF('Ứng viên'!L:L,"Blocked")</f>
        <v>0</v>
      </c>
      <c r="J3" s="7" t="n">
        <f aca="false">COUNTIF('Ứng viên'!L:L,"Skip")</f>
        <v>0</v>
      </c>
      <c r="K3" s="7" t="n">
        <f aca="false">B3-F3</f>
        <v>0</v>
      </c>
      <c r="L3" s="8" t="n">
        <f aca="false">IF(B3=0,0,F3/B3)</f>
        <v>1</v>
      </c>
      <c r="M3" s="8" t="n">
        <f aca="false">IF(F3=0,0,G3/F3)</f>
        <v>1</v>
      </c>
    </row>
    <row r="4" customFormat="false" ht="15" hidden="false" customHeight="true" outlineLevel="0" collapsed="false">
      <c r="A4" s="7" t="s">
        <v>168</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114</v>
      </c>
      <c r="G4" s="7" t="n">
        <f aca="false">COUNTIF('Nhà tuyển dụng'!L:L,"Pass")</f>
        <v>114</v>
      </c>
      <c r="H4" s="7" t="n">
        <f aca="false">COUNTIF('Nhà tuyển dụng'!L:L,"Fail")</f>
        <v>0</v>
      </c>
      <c r="I4" s="7" t="n">
        <f aca="false">COUNTIF('Nhà tuyển dụng'!L:L,"Blocked")</f>
        <v>0</v>
      </c>
      <c r="J4" s="7" t="n">
        <f aca="false">COUNTIF('Nhà tuyển dụng'!L:L,"Skip")</f>
        <v>0</v>
      </c>
      <c r="K4" s="7" t="n">
        <f aca="false">B4-F4</f>
        <v>0</v>
      </c>
      <c r="L4" s="8" t="n">
        <f aca="false">IF(B4=0,0,F4/B4)</f>
        <v>1</v>
      </c>
      <c r="M4" s="8" t="n">
        <f aca="false">IF(F4=0,0,G4/F4)</f>
        <v>1</v>
      </c>
    </row>
    <row r="5" customFormat="false" ht="15" hidden="false" customHeight="true" outlineLevel="0" collapsed="false">
      <c r="A5" s="7" t="s">
        <v>169</v>
      </c>
      <c r="B5" s="7" t="n">
        <f aca="false">COUNTA(Admin!A:A)-1</f>
        <v>71</v>
      </c>
      <c r="C5" s="7" t="n">
        <f aca="false">COUNTIF(Admin!I:I,"P0")</f>
        <v>19</v>
      </c>
      <c r="D5" s="7" t="n">
        <f aca="false">COUNTIF(Admin!I:I,"P1")</f>
        <v>28</v>
      </c>
      <c r="E5" s="7" t="n">
        <f aca="false">COUNTIF(Admin!I:I,"P2")</f>
        <v>24</v>
      </c>
      <c r="F5" s="7" t="n">
        <f aca="false">G5+H5+I5+J5</f>
        <v>71</v>
      </c>
      <c r="G5" s="7" t="n">
        <f aca="false">COUNTIF(Admin!L:L,"Pass")</f>
        <v>71</v>
      </c>
      <c r="H5" s="7" t="n">
        <f aca="false">COUNTIF(Admin!L:L,"Fail")</f>
        <v>0</v>
      </c>
      <c r="I5" s="7" t="n">
        <f aca="false">COUNTIF(Admin!L:L,"Blocked")</f>
        <v>0</v>
      </c>
      <c r="J5" s="7" t="n">
        <f aca="false">COUNTIF(Admin!L:L,"Skip")</f>
        <v>0</v>
      </c>
      <c r="K5" s="7" t="n">
        <f aca="false">B5-F5</f>
        <v>0</v>
      </c>
      <c r="L5" s="8" t="n">
        <f aca="false">IF(B5=0,0,F5/B5)</f>
        <v>1</v>
      </c>
      <c r="M5" s="8" t="n">
        <f aca="false">IF(F5=0,0,G5/F5)</f>
        <v>1</v>
      </c>
    </row>
    <row r="6" customFormat="false" ht="15" hidden="false" customHeight="true" outlineLevel="0" collapsed="false">
      <c r="A6" s="7" t="s">
        <v>170</v>
      </c>
      <c r="B6" s="7" t="n">
        <f aca="false">COUNTA('Hỗ trợ (chung)'!A:A)-1</f>
        <v>15</v>
      </c>
      <c r="C6" s="7" t="n">
        <f aca="false">COUNTIF('Hỗ trợ (chung)'!I:I,"P0")</f>
        <v>0</v>
      </c>
      <c r="D6" s="7" t="n">
        <f aca="false">COUNTIF('Hỗ trợ (chung)'!I:I,"P1")</f>
        <v>5</v>
      </c>
      <c r="E6" s="7" t="n">
        <f aca="false">COUNTIF('Hỗ trợ (chung)'!I:I,"P2")</f>
        <v>10</v>
      </c>
      <c r="F6" s="7" t="n">
        <f aca="false">G6+H6+I6+J6</f>
        <v>15</v>
      </c>
      <c r="G6" s="7" t="n">
        <f aca="false">COUNTIF('Hỗ trợ (chung)'!L:L,"Pass")</f>
        <v>15</v>
      </c>
      <c r="H6" s="7" t="n">
        <f aca="false">COUNTIF('Hỗ trợ (chung)'!L:L,"Fail")</f>
        <v>0</v>
      </c>
      <c r="I6" s="7" t="n">
        <f aca="false">COUNTIF('Hỗ trợ (chung)'!L:L,"Blocked")</f>
        <v>0</v>
      </c>
      <c r="J6" s="7" t="n">
        <f aca="false">COUNTIF('Hỗ trợ (chung)'!L:L,"Skip")</f>
        <v>0</v>
      </c>
      <c r="K6" s="7" t="n">
        <f aca="false">B6-F6</f>
        <v>0</v>
      </c>
      <c r="L6" s="8" t="n">
        <f aca="false">IF(B6=0,0,F6/B6)</f>
        <v>1</v>
      </c>
      <c r="M6" s="8" t="n">
        <f aca="false">IF(F6=0,0,G6/F6)</f>
        <v>1</v>
      </c>
    </row>
    <row r="7" customFormat="false" ht="15" hidden="false" customHeight="true" outlineLevel="0" collapsed="false">
      <c r="A7" s="7" t="s">
        <v>171</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24</v>
      </c>
      <c r="G7" s="7" t="n">
        <f aca="false">COUNTIF('Quy tắc trạng thái'!L:L,"Pass")</f>
        <v>24</v>
      </c>
      <c r="H7" s="7" t="n">
        <f aca="false">COUNTIF('Quy tắc trạng thái'!L:L,"Fail")</f>
        <v>0</v>
      </c>
      <c r="I7" s="7" t="n">
        <f aca="false">COUNTIF('Quy tắc trạng thái'!L:L,"Blocked")</f>
        <v>0</v>
      </c>
      <c r="J7" s="7" t="n">
        <f aca="false">COUNTIF('Quy tắc trạng thái'!L:L,"Skip")</f>
        <v>0</v>
      </c>
      <c r="K7" s="7" t="n">
        <f aca="false">B7-F7</f>
        <v>0</v>
      </c>
      <c r="L7" s="8" t="n">
        <f aca="false">IF(B7=0,0,F7/B7)</f>
        <v>1</v>
      </c>
      <c r="M7" s="8" t="n">
        <f aca="false">IF(F7=0,0,G7/F7)</f>
        <v>1</v>
      </c>
    </row>
    <row r="8" customFormat="false" ht="15" hidden="false" customHeight="true" outlineLevel="0" collapsed="false">
      <c r="A8" s="7" t="s">
        <v>172</v>
      </c>
      <c r="B8" s="7" t="n">
        <f aca="false">COUNTA('Phi chức năng'!A:A)-1</f>
        <v>29</v>
      </c>
      <c r="C8" s="7" t="n">
        <f aca="false">COUNTIF('Phi chức năng'!I:I,"P0")</f>
        <v>5</v>
      </c>
      <c r="D8" s="7" t="n">
        <f aca="false">COUNTIF('Phi chức năng'!I:I,"P1")</f>
        <v>14</v>
      </c>
      <c r="E8" s="7" t="n">
        <f aca="false">COUNTIF('Phi chức năng'!I:I,"P2")</f>
        <v>10</v>
      </c>
      <c r="F8" s="7" t="n">
        <f aca="false">G8+H8+I8+J8</f>
        <v>29</v>
      </c>
      <c r="G8" s="7" t="n">
        <f aca="false">COUNTIF('Phi chức năng'!L:L,"Pass")</f>
        <v>25</v>
      </c>
      <c r="H8" s="7" t="n">
        <f aca="false">COUNTIF('Phi chức năng'!L:L,"Fail")</f>
        <v>0</v>
      </c>
      <c r="I8" s="7" t="n">
        <f aca="false">COUNTIF('Phi chức năng'!L:L,"Blocked")</f>
        <v>4</v>
      </c>
      <c r="J8" s="7" t="n">
        <f aca="false">COUNTIF('Phi chức năng'!L:L,"Skip")</f>
        <v>0</v>
      </c>
      <c r="K8" s="7" t="n">
        <f aca="false">B8-F8</f>
        <v>0</v>
      </c>
      <c r="L8" s="8" t="n">
        <f aca="false">IF(B8=0,0,F8/B8)</f>
        <v>1</v>
      </c>
      <c r="M8" s="8" t="n">
        <f aca="false">IF(F8=0,0,G8/F8)</f>
        <v>0.862068965517241</v>
      </c>
    </row>
    <row r="9" customFormat="false" ht="15" hidden="false" customHeight="true" outlineLevel="0" collapsed="false">
      <c r="A9" s="9" t="s">
        <v>173</v>
      </c>
      <c r="B9" s="9" t="n">
        <f aca="false">SUM(B2:B8)</f>
        <v>443</v>
      </c>
      <c r="C9" s="9" t="n">
        <f aca="false">SUM(C2:C8)</f>
        <v>151</v>
      </c>
      <c r="D9" s="9" t="n">
        <f aca="false">SUM(D2:D8)</f>
        <v>172</v>
      </c>
      <c r="E9" s="9" t="n">
        <f aca="false">SUM(E2:E8)</f>
        <v>120</v>
      </c>
      <c r="F9" s="9" t="n">
        <f aca="false">SUM(F2:F8)</f>
        <v>443</v>
      </c>
      <c r="G9" s="9" t="n">
        <f aca="false">SUM(G2:G8)</f>
        <v>439</v>
      </c>
      <c r="H9" s="9" t="n">
        <f aca="false">SUM(H2:H8)</f>
        <v>0</v>
      </c>
      <c r="I9" s="9" t="n">
        <f aca="false">SUM(I2:I8)</f>
        <v>4</v>
      </c>
      <c r="J9" s="9" t="n">
        <f aca="false">SUM(J2:J8)</f>
        <v>0</v>
      </c>
      <c r="K9" s="9" t="n">
        <f aca="false">SUM(K2:K8)</f>
        <v>0</v>
      </c>
      <c r="L9" s="10" t="n">
        <f aca="false">IF(B9=0,0,F9/B9)</f>
        <v>1</v>
      </c>
      <c r="M9" s="10" t="n">
        <f aca="false">IF(F9=0,0,G9/F9)</f>
        <v>0.99097065462754</v>
      </c>
    </row>
    <row r="11" customFormat="false" ht="15" hidden="false" customHeight="true" outlineLevel="0" collapsed="false">
      <c r="A11" s="11" t="s">
        <v>174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175</v>
      </c>
      <c r="B1" s="12" t="s">
        <v>176</v>
      </c>
      <c r="C1" s="12" t="s">
        <v>177</v>
      </c>
      <c r="D1" s="12" t="s">
        <v>155</v>
      </c>
      <c r="E1" s="12" t="s">
        <v>159</v>
      </c>
      <c r="F1" s="12" t="s">
        <v>32</v>
      </c>
      <c r="G1" s="12" t="s">
        <v>160</v>
      </c>
      <c r="H1" s="12" t="s">
        <v>178</v>
      </c>
    </row>
    <row r="2" customFormat="false" ht="15" hidden="false" customHeight="true" outlineLevel="0" collapsed="false">
      <c r="A2" s="7" t="s">
        <v>179</v>
      </c>
      <c r="B2" s="7" t="s">
        <v>166</v>
      </c>
      <c r="C2" s="7" t="s">
        <v>156</v>
      </c>
      <c r="D2" s="7" t="n">
        <v>13</v>
      </c>
      <c r="E2" s="7" t="n">
        <f aca="false">COUNTIFS('Xác thực'!B:B,A2,'Xác thực'!L:L,"&lt;&gt;Chưa chạy")</f>
        <v>13</v>
      </c>
      <c r="F2" s="7" t="n">
        <f aca="false">COUNTIFS('Xác thực'!B:B,A2,'Xác thực'!L:L,"Pass")</f>
        <v>13</v>
      </c>
      <c r="G2" s="7" t="n">
        <f aca="false">COUNTIFS('Xác thực'!B:B,A2,'Xác thực'!L:L,"Fail")</f>
        <v>0</v>
      </c>
      <c r="H2" s="7" t="str">
        <f aca="false">IF(F2=D2,"Đã phủ",IF(G2&gt;0,"Có lỗi",IF(E2=0,"Chưa test","Đang test")))</f>
        <v>Đã phủ</v>
      </c>
    </row>
    <row r="3" customFormat="false" ht="15" hidden="false" customHeight="true" outlineLevel="0" collapsed="false">
      <c r="A3" s="7" t="s">
        <v>180</v>
      </c>
      <c r="B3" s="7" t="s">
        <v>166</v>
      </c>
      <c r="C3" s="7" t="s">
        <v>156</v>
      </c>
      <c r="D3" s="7" t="n">
        <v>11</v>
      </c>
      <c r="E3" s="7" t="n">
        <f aca="false">COUNTIFS('Xác thực'!B:B,A3,'Xác thực'!L:L,"&lt;&gt;Chưa chạy")</f>
        <v>11</v>
      </c>
      <c r="F3" s="7" t="n">
        <f aca="false">COUNTIFS('Xác thực'!B:B,A3,'Xác thực'!L:L,"Pass")</f>
        <v>11</v>
      </c>
      <c r="G3" s="7" t="n">
        <f aca="false">COUNTIFS('Xác thực'!B:B,A3,'Xác thực'!L:L,"Fail")</f>
        <v>0</v>
      </c>
      <c r="H3" s="7" t="str">
        <f aca="false">IF(F3=D3,"Đã phủ",IF(G3&gt;0,"Có lỗi",IF(E3=0,"Chưa test","Đang test")))</f>
        <v>Đã phủ</v>
      </c>
    </row>
    <row r="4" customFormat="false" ht="15" hidden="false" customHeight="true" outlineLevel="0" collapsed="false">
      <c r="A4" s="7" t="s">
        <v>181</v>
      </c>
      <c r="B4" s="7" t="s">
        <v>166</v>
      </c>
      <c r="C4" s="7" t="s">
        <v>156</v>
      </c>
      <c r="D4" s="7" t="n">
        <v>5</v>
      </c>
      <c r="E4" s="7" t="n">
        <f aca="false">COUNTIFS('Xác thực'!B:B,A4,'Xác thực'!L:L,"&lt;&gt;Chưa chạy")</f>
        <v>5</v>
      </c>
      <c r="F4" s="7" t="n">
        <f aca="false">COUNTIFS('Xác thực'!B:B,A4,'Xác thực'!L:L,"Pass")</f>
        <v>5</v>
      </c>
      <c r="G4" s="7" t="n">
        <f aca="false">COUNTIFS('Xác thực'!B:B,A4,'Xác thực'!L:L,"Fail")</f>
        <v>0</v>
      </c>
      <c r="H4" s="7" t="str">
        <f aca="false">IF(F4=D4,"Đã phủ",IF(G4&gt;0,"Có lỗi",IF(E4=0,"Chưa test","Đang test")))</f>
        <v>Đã phủ</v>
      </c>
    </row>
    <row r="5" customFormat="false" ht="15" hidden="false" customHeight="true" outlineLevel="0" collapsed="false">
      <c r="A5" s="7" t="s">
        <v>182</v>
      </c>
      <c r="B5" s="7" t="s">
        <v>166</v>
      </c>
      <c r="C5" s="7" t="s">
        <v>156</v>
      </c>
      <c r="D5" s="7" t="n">
        <v>6</v>
      </c>
      <c r="E5" s="7" t="n">
        <f aca="false">COUNTIFS('Xác thực'!B:B,A5,'Xác thực'!L:L,"&lt;&gt;Chưa chạy")</f>
        <v>6</v>
      </c>
      <c r="F5" s="7" t="n">
        <f aca="false">COUNTIFS('Xác thực'!B:B,A5,'Xác thực'!L:L,"Pass")</f>
        <v>6</v>
      </c>
      <c r="G5" s="7" t="n">
        <f aca="false">COUNTIFS('Xác thực'!B:B,A5,'Xác thực'!L:L,"Fail")</f>
        <v>0</v>
      </c>
      <c r="H5" s="7" t="str">
        <f aca="false">IF(F5=D5,"Đã phủ",IF(G5&gt;0,"Có lỗi",IF(E5=0,"Chưa test","Đang test")))</f>
        <v>Đã phủ</v>
      </c>
    </row>
    <row r="6" customFormat="false" ht="15" hidden="false" customHeight="true" outlineLevel="0" collapsed="false">
      <c r="A6" s="7" t="s">
        <v>183</v>
      </c>
      <c r="B6" s="7" t="s">
        <v>166</v>
      </c>
      <c r="C6" s="7" t="s">
        <v>156</v>
      </c>
      <c r="D6" s="7" t="n">
        <v>5</v>
      </c>
      <c r="E6" s="7" t="n">
        <f aca="false">COUNTIFS('Xác thực'!B:B,A6,'Xác thực'!L:L,"&lt;&gt;Chưa chạy")</f>
        <v>5</v>
      </c>
      <c r="F6" s="7" t="n">
        <f aca="false">COUNTIFS('Xác thực'!B:B,A6,'Xác thực'!L:L,"Pass")</f>
        <v>5</v>
      </c>
      <c r="G6" s="7" t="n">
        <f aca="false">COUNTIFS('Xác thực'!B:B,A6,'Xác thực'!L:L,"Fail")</f>
        <v>0</v>
      </c>
      <c r="H6" s="7" t="str">
        <f aca="false">IF(F6=D6,"Đã phủ",IF(G6&gt;0,"Có lỗi",IF(E6=0,"Chưa test","Đang test")))</f>
        <v>Đã phủ</v>
      </c>
    </row>
    <row r="7" customFormat="false" ht="15" hidden="false" customHeight="true" outlineLevel="0" collapsed="false">
      <c r="A7" s="7" t="s">
        <v>184</v>
      </c>
      <c r="B7" s="7" t="s">
        <v>166</v>
      </c>
      <c r="C7" s="7" t="s">
        <v>157</v>
      </c>
      <c r="D7" s="7" t="n">
        <v>1</v>
      </c>
      <c r="E7" s="7" t="n">
        <f aca="false">COUNTIFS('Xác thực'!B:B,A7,'Xác thực'!L:L,"&lt;&gt;Chưa chạy")</f>
        <v>1</v>
      </c>
      <c r="F7" s="7" t="n">
        <f aca="false">COUNTIFS('Xác thực'!B:B,A7,'Xác thực'!L:L,"Pass")</f>
        <v>1</v>
      </c>
      <c r="G7" s="7" t="n">
        <f aca="false">COUNTIFS('Xác thực'!B:B,A7,'Xác thực'!L:L,"Fail")</f>
        <v>0</v>
      </c>
      <c r="H7" s="7" t="str">
        <f aca="false">IF(F7=D7,"Đã phủ",IF(G7&gt;0,"Có lỗi",IF(E7=0,"Chưa test","Đang test")))</f>
        <v>Đã phủ</v>
      </c>
    </row>
    <row r="8" customFormat="false" ht="15" hidden="false" customHeight="true" outlineLevel="0" collapsed="false">
      <c r="A8" s="7" t="s">
        <v>185</v>
      </c>
      <c r="B8" s="7" t="s">
        <v>166</v>
      </c>
      <c r="C8" s="7" t="s">
        <v>156</v>
      </c>
      <c r="D8" s="7" t="n">
        <v>3</v>
      </c>
      <c r="E8" s="7" t="n">
        <f aca="false">COUNTIFS('Xác thực'!B:B,A8,'Xác thực'!L:L,"&lt;&gt;Chưa chạy")</f>
        <v>3</v>
      </c>
      <c r="F8" s="7" t="n">
        <f aca="false">COUNTIFS('Xác thực'!B:B,A8,'Xác thực'!L:L,"Pass")</f>
        <v>3</v>
      </c>
      <c r="G8" s="7" t="n">
        <f aca="false">COUNTIFS('Xác thực'!B:B,A8,'Xác thực'!L:L,"Fail")</f>
        <v>0</v>
      </c>
      <c r="H8" s="7" t="str">
        <f aca="false">IF(F8=D8,"Đã phủ",IF(G8&gt;0,"Có lỗi",IF(E8=0,"Chưa test","Đang test")))</f>
        <v>Đã phủ</v>
      </c>
    </row>
    <row r="9" customFormat="false" ht="15" hidden="false" customHeight="true" outlineLevel="0" collapsed="false">
      <c r="A9" s="7" t="s">
        <v>186</v>
      </c>
      <c r="B9" s="7" t="s">
        <v>167</v>
      </c>
      <c r="C9" s="7" t="s">
        <v>156</v>
      </c>
      <c r="D9" s="7" t="n">
        <v>8</v>
      </c>
      <c r="E9" s="7" t="n">
        <f aca="false">COUNTIFS('Ứng viên'!B:B,A9,'Ứng viên'!L:L,"&lt;&gt;Chưa chạy")</f>
        <v>8</v>
      </c>
      <c r="F9" s="7" t="n">
        <f aca="false">COUNTIFS('Ứng viên'!B:B,A9,'Ứng viên'!L:L,"Pass")</f>
        <v>8</v>
      </c>
      <c r="G9" s="7" t="n">
        <f aca="false">COUNTIFS('Ứng viên'!B:B,A9,'Ứng viên'!L:L,"Fail")</f>
        <v>0</v>
      </c>
      <c r="H9" s="7" t="str">
        <f aca="false">IF(F9=D9,"Đã phủ",IF(G9&gt;0,"Có lỗi",IF(E9=0,"Chưa test","Đang test")))</f>
        <v>Đã phủ</v>
      </c>
    </row>
    <row r="10" customFormat="false" ht="15" hidden="false" customHeight="true" outlineLevel="0" collapsed="false">
      <c r="A10" s="7" t="s">
        <v>187</v>
      </c>
      <c r="B10" s="7" t="s">
        <v>167</v>
      </c>
      <c r="C10" s="7" t="s">
        <v>156</v>
      </c>
      <c r="D10" s="7" t="n">
        <v>6</v>
      </c>
      <c r="E10" s="7" t="n">
        <f aca="false">COUNTIFS('Ứng viên'!B:B,A10,'Ứng viên'!L:L,"&lt;&gt;Chưa chạy")</f>
        <v>6</v>
      </c>
      <c r="F10" s="7" t="n">
        <f aca="false">COUNTIFS('Ứng viên'!B:B,A10,'Ứng viên'!L:L,"Pass")</f>
        <v>6</v>
      </c>
      <c r="G10" s="7" t="n">
        <f aca="false">COUNTIFS('Ứng viên'!B:B,A10,'Ứng viên'!L:L,"Fail")</f>
        <v>0</v>
      </c>
      <c r="H10" s="7" t="str">
        <f aca="false">IF(F10=D10,"Đã phủ",IF(G10&gt;0,"Có lỗi",IF(E10=0,"Chưa test","Đang test")))</f>
        <v>Đã phủ</v>
      </c>
    </row>
    <row r="11" customFormat="false" ht="15" hidden="false" customHeight="true" outlineLevel="0" collapsed="false">
      <c r="A11" s="7" t="s">
        <v>188</v>
      </c>
      <c r="B11" s="7" t="s">
        <v>167</v>
      </c>
      <c r="C11" s="7" t="s">
        <v>156</v>
      </c>
      <c r="D11" s="7" t="n">
        <v>10</v>
      </c>
      <c r="E11" s="7" t="n">
        <f aca="false">COUNTIFS('Ứng viên'!B:B,A11,'Ứng viên'!L:L,"&lt;&gt;Chưa chạy")</f>
        <v>10</v>
      </c>
      <c r="F11" s="7" t="n">
        <f aca="false">COUNTIFS('Ứng viên'!B:B,A11,'Ứng viên'!L:L,"Pass")</f>
        <v>10</v>
      </c>
      <c r="G11" s="7" t="n">
        <f aca="false">COUNTIFS('Ứng viên'!B:B,A11,'Ứng viên'!L:L,"Fail")</f>
        <v>0</v>
      </c>
      <c r="H11" s="7" t="str">
        <f aca="false">IF(F11=D11,"Đã phủ",IF(G11&gt;0,"Có lỗi",IF(E11=0,"Chưa test","Đang test")))</f>
        <v>Đã phủ</v>
      </c>
    </row>
    <row r="12" customFormat="false" ht="15" hidden="false" customHeight="true" outlineLevel="0" collapsed="false">
      <c r="A12" s="7" t="s">
        <v>189</v>
      </c>
      <c r="B12" s="7" t="s">
        <v>167</v>
      </c>
      <c r="C12" s="7" t="s">
        <v>156</v>
      </c>
      <c r="D12" s="7" t="n">
        <v>2</v>
      </c>
      <c r="E12" s="7" t="n">
        <f aca="false">COUNTIFS('Ứng viên'!B:B,A12,'Ứng viên'!L:L,"&lt;&gt;Chưa chạy")</f>
        <v>2</v>
      </c>
      <c r="F12" s="7" t="n">
        <f aca="false">COUNTIFS('Ứng viên'!B:B,A12,'Ứng viên'!L:L,"Pass")</f>
        <v>2</v>
      </c>
      <c r="G12" s="7" t="n">
        <f aca="false">COUNTIFS('Ứng viên'!B:B,A12,'Ứng viên'!L:L,"Fail")</f>
        <v>0</v>
      </c>
      <c r="H12" s="7" t="str">
        <f aca="false">IF(F12=D12,"Đã phủ",IF(G12&gt;0,"Có lỗi",IF(E12=0,"Chưa test","Đang test")))</f>
        <v>Đã phủ</v>
      </c>
    </row>
    <row r="13" customFormat="false" ht="15" hidden="false" customHeight="true" outlineLevel="0" collapsed="false">
      <c r="A13" s="7" t="s">
        <v>190</v>
      </c>
      <c r="B13" s="7" t="s">
        <v>167</v>
      </c>
      <c r="C13" s="7" t="s">
        <v>156</v>
      </c>
      <c r="D13" s="7" t="n">
        <v>12</v>
      </c>
      <c r="E13" s="7" t="n">
        <f aca="false">COUNTIFS('Ứng viên'!B:B,A13,'Ứng viên'!L:L,"&lt;&gt;Chưa chạy")</f>
        <v>12</v>
      </c>
      <c r="F13" s="7" t="n">
        <f aca="false">COUNTIFS('Ứng viên'!B:B,A13,'Ứng viên'!L:L,"Pass")</f>
        <v>12</v>
      </c>
      <c r="G13" s="7" t="n">
        <f aca="false">COUNTIFS('Ứng viên'!B:B,A13,'Ứng viên'!L:L,"Fail")</f>
        <v>0</v>
      </c>
      <c r="H13" s="7" t="str">
        <f aca="false">IF(F13=D13,"Đã phủ",IF(G13&gt;0,"Có lỗi",IF(E13=0,"Chưa test","Đang test")))</f>
        <v>Đã phủ</v>
      </c>
    </row>
    <row r="14" customFormat="false" ht="15" hidden="false" customHeight="true" outlineLevel="0" collapsed="false">
      <c r="A14" s="7" t="s">
        <v>191</v>
      </c>
      <c r="B14" s="7" t="s">
        <v>167</v>
      </c>
      <c r="C14" s="7" t="s">
        <v>156</v>
      </c>
      <c r="D14" s="7" t="n">
        <v>5</v>
      </c>
      <c r="E14" s="7" t="n">
        <f aca="false">COUNTIFS('Ứng viên'!B:B,A14,'Ứng viên'!L:L,"&lt;&gt;Chưa chạy")</f>
        <v>5</v>
      </c>
      <c r="F14" s="7" t="n">
        <f aca="false">COUNTIFS('Ứng viên'!B:B,A14,'Ứng viên'!L:L,"Pass")</f>
        <v>5</v>
      </c>
      <c r="G14" s="7" t="n">
        <f aca="false">COUNTIFS('Ứng viên'!B:B,A14,'Ứng viên'!L:L,"Fail")</f>
        <v>0</v>
      </c>
      <c r="H14" s="7" t="str">
        <f aca="false">IF(F14=D14,"Đã phủ",IF(G14&gt;0,"Có lỗi",IF(E14=0,"Chưa test","Đang test")))</f>
        <v>Đã phủ</v>
      </c>
    </row>
    <row r="15" customFormat="false" ht="15" hidden="false" customHeight="true" outlineLevel="0" collapsed="false">
      <c r="A15" s="7" t="s">
        <v>192</v>
      </c>
      <c r="B15" s="7" t="s">
        <v>167</v>
      </c>
      <c r="C15" s="7" t="s">
        <v>156</v>
      </c>
      <c r="D15" s="7" t="n">
        <v>14</v>
      </c>
      <c r="E15" s="7" t="n">
        <f aca="false">COUNTIFS('Ứng viên'!B:B,A15,'Ứng viên'!L:L,"&lt;&gt;Chưa chạy")</f>
        <v>14</v>
      </c>
      <c r="F15" s="7" t="n">
        <f aca="false">COUNTIFS('Ứng viên'!B:B,A15,'Ứng viên'!L:L,"Pass")</f>
        <v>14</v>
      </c>
      <c r="G15" s="7" t="n">
        <f aca="false">COUNTIFS('Ứng viên'!B:B,A15,'Ứng viên'!L:L,"Fail")</f>
        <v>0</v>
      </c>
      <c r="H15" s="7" t="str">
        <f aca="false">IF(F15=D15,"Đã phủ",IF(G15&gt;0,"Có lỗi",IF(E15=0,"Chưa test","Đang test")))</f>
        <v>Đã phủ</v>
      </c>
    </row>
    <row r="16" customFormat="false" ht="15" hidden="false" customHeight="true" outlineLevel="0" collapsed="false">
      <c r="A16" s="7" t="s">
        <v>193</v>
      </c>
      <c r="B16" s="7" t="s">
        <v>167</v>
      </c>
      <c r="C16" s="7" t="s">
        <v>156</v>
      </c>
      <c r="D16" s="7" t="n">
        <v>6</v>
      </c>
      <c r="E16" s="7" t="n">
        <f aca="false">COUNTIFS('Ứng viên'!B:B,A16,'Ứng viên'!L:L,"&lt;&gt;Chưa chạy")</f>
        <v>6</v>
      </c>
      <c r="F16" s="7" t="n">
        <f aca="false">COUNTIFS('Ứng viên'!B:B,A16,'Ứng viên'!L:L,"Pass")</f>
        <v>6</v>
      </c>
      <c r="G16" s="7" t="n">
        <f aca="false">COUNTIFS('Ứng viên'!B:B,A16,'Ứng viên'!L:L,"Fail")</f>
        <v>0</v>
      </c>
      <c r="H16" s="7" t="str">
        <f aca="false">IF(F16=D16,"Đã phủ",IF(G16&gt;0,"Có lỗi",IF(E16=0,"Chưa test","Đang test")))</f>
        <v>Đã phủ</v>
      </c>
    </row>
    <row r="17" customFormat="false" ht="15" hidden="false" customHeight="true" outlineLevel="0" collapsed="false">
      <c r="A17" s="7" t="s">
        <v>194</v>
      </c>
      <c r="B17" s="7" t="s">
        <v>167</v>
      </c>
      <c r="C17" s="7" t="s">
        <v>157</v>
      </c>
      <c r="D17" s="7" t="n">
        <v>4</v>
      </c>
      <c r="E17" s="7" t="n">
        <f aca="false">COUNTIFS('Ứng viên'!B:B,A17,'Ứng viên'!L:L,"&lt;&gt;Chưa chạy")</f>
        <v>4</v>
      </c>
      <c r="F17" s="7" t="n">
        <f aca="false">COUNTIFS('Ứng viên'!B:B,A17,'Ứng viên'!L:L,"Pass")</f>
        <v>4</v>
      </c>
      <c r="G17" s="7" t="n">
        <f aca="false">COUNTIFS('Ứng viên'!B:B,A17,'Ứng viên'!L:L,"Fail")</f>
        <v>0</v>
      </c>
      <c r="H17" s="7" t="str">
        <f aca="false">IF(F17=D17,"Đã phủ",IF(G17&gt;0,"Có lỗi",IF(E17=0,"Chưa test","Đang test")))</f>
        <v>Đã phủ</v>
      </c>
    </row>
    <row r="18" customFormat="false" ht="15" hidden="false" customHeight="true" outlineLevel="0" collapsed="false">
      <c r="A18" s="7" t="s">
        <v>195</v>
      </c>
      <c r="B18" s="7" t="s">
        <v>167</v>
      </c>
      <c r="C18" s="7" t="s">
        <v>157</v>
      </c>
      <c r="D18" s="7" t="n">
        <v>6</v>
      </c>
      <c r="E18" s="7" t="n">
        <f aca="false">COUNTIFS('Ứng viên'!B:B,A18,'Ứng viên'!L:L,"&lt;&gt;Chưa chạy")</f>
        <v>6</v>
      </c>
      <c r="F18" s="7" t="n">
        <f aca="false">COUNTIFS('Ứng viên'!B:B,A18,'Ứng viên'!L:L,"Pass")</f>
        <v>6</v>
      </c>
      <c r="G18" s="7" t="n">
        <f aca="false">COUNTIFS('Ứng viên'!B:B,A18,'Ứng viên'!L:L,"Fail")</f>
        <v>0</v>
      </c>
      <c r="H18" s="7" t="str">
        <f aca="false">IF(F18=D18,"Đã phủ",IF(G18&gt;0,"Có lỗi",IF(E18=0,"Chưa test","Đang test")))</f>
        <v>Đã phủ</v>
      </c>
    </row>
    <row r="19" customFormat="false" ht="15" hidden="false" customHeight="true" outlineLevel="0" collapsed="false">
      <c r="A19" s="7" t="s">
        <v>196</v>
      </c>
      <c r="B19" s="7" t="s">
        <v>167</v>
      </c>
      <c r="C19" s="7" t="s">
        <v>156</v>
      </c>
      <c r="D19" s="7" t="n">
        <v>3</v>
      </c>
      <c r="E19" s="7" t="n">
        <f aca="false">COUNTIFS('Ứng viên'!B:B,A19,'Ứng viên'!L:L,"&lt;&gt;Chưa chạy")</f>
        <v>3</v>
      </c>
      <c r="F19" s="7" t="n">
        <f aca="false">COUNTIFS('Ứng viên'!B:B,A19,'Ứng viên'!L:L,"Pass")</f>
        <v>3</v>
      </c>
      <c r="G19" s="7" t="n">
        <f aca="false">COUNTIFS('Ứng viên'!B:B,A19,'Ứng viên'!L:L,"Fail")</f>
        <v>0</v>
      </c>
      <c r="H19" s="7" t="str">
        <f aca="false">IF(F19=D19,"Đã phủ",IF(G19&gt;0,"Có lỗi",IF(E19=0,"Chưa test","Đang test")))</f>
        <v>Đã phủ</v>
      </c>
    </row>
    <row r="20" customFormat="false" ht="15" hidden="false" customHeight="true" outlineLevel="0" collapsed="false">
      <c r="A20" s="7" t="s">
        <v>197</v>
      </c>
      <c r="B20" s="7" t="s">
        <v>167</v>
      </c>
      <c r="C20" s="7" t="s">
        <v>157</v>
      </c>
      <c r="D20" s="7" t="n">
        <v>4</v>
      </c>
      <c r="E20" s="7" t="n">
        <f aca="false">COUNTIFS('Ứng viên'!B:B,A20,'Ứng viên'!L:L,"&lt;&gt;Chưa chạy")</f>
        <v>4</v>
      </c>
      <c r="F20" s="7" t="n">
        <f aca="false">COUNTIFS('Ứng viên'!B:B,A20,'Ứng viên'!L:L,"Pass")</f>
        <v>4</v>
      </c>
      <c r="G20" s="7" t="n">
        <f aca="false">COUNTIFS('Ứng viên'!B:B,A20,'Ứng viên'!L:L,"Fail")</f>
        <v>0</v>
      </c>
      <c r="H20" s="7" t="str">
        <f aca="false">IF(F20=D20,"Đã phủ",IF(G20&gt;0,"Có lỗi",IF(E20=0,"Chưa test","Đang test")))</f>
        <v>Đã phủ</v>
      </c>
    </row>
    <row r="21" customFormat="false" ht="15" hidden="false" customHeight="true" outlineLevel="0" collapsed="false">
      <c r="A21" s="7" t="s">
        <v>198</v>
      </c>
      <c r="B21" s="7" t="s">
        <v>167</v>
      </c>
      <c r="C21" s="7" t="s">
        <v>157</v>
      </c>
      <c r="D21" s="7" t="n">
        <v>9</v>
      </c>
      <c r="E21" s="7" t="n">
        <f aca="false">COUNTIFS('Ứng viên'!B:B,A21,'Ứng viên'!L:L,"&lt;&gt;Chưa chạy")</f>
        <v>9</v>
      </c>
      <c r="F21" s="7" t="n">
        <f aca="false">COUNTIFS('Ứng viên'!B:B,A21,'Ứng viên'!L:L,"Pass")</f>
        <v>9</v>
      </c>
      <c r="G21" s="7" t="n">
        <f aca="false">COUNTIFS('Ứng viên'!B:B,A21,'Ứng viên'!L:L,"Fail")</f>
        <v>0</v>
      </c>
      <c r="H21" s="7" t="str">
        <f aca="false">IF(F21=D21,"Đã phủ",IF(G21&gt;0,"Có lỗi",IF(E21=0,"Chưa test","Đang test")))</f>
        <v>Đã phủ</v>
      </c>
    </row>
    <row r="22" customFormat="false" ht="15" hidden="false" customHeight="true" outlineLevel="0" collapsed="false">
      <c r="A22" s="7" t="s">
        <v>199</v>
      </c>
      <c r="B22" s="7" t="s">
        <v>167</v>
      </c>
      <c r="C22" s="7" t="s">
        <v>157</v>
      </c>
      <c r="D22" s="7" t="n">
        <v>8</v>
      </c>
      <c r="E22" s="7" t="n">
        <f aca="false">COUNTIFS('Ứng viên'!B:B,A22,'Ứng viên'!L:L,"&lt;&gt;Chưa chạy")</f>
        <v>8</v>
      </c>
      <c r="F22" s="7" t="n">
        <f aca="false">COUNTIFS('Ứng viên'!B:B,A22,'Ứng viên'!L:L,"Pass")</f>
        <v>8</v>
      </c>
      <c r="G22" s="7" t="n">
        <f aca="false">COUNTIFS('Ứng viên'!B:B,A22,'Ứng viên'!L:L,"Fail")</f>
        <v>0</v>
      </c>
      <c r="H22" s="7" t="str">
        <f aca="false">IF(F22=D22,"Đã phủ",IF(G22&gt;0,"Có lỗi",IF(E22=0,"Chưa test","Đang test")))</f>
        <v>Đã phủ</v>
      </c>
    </row>
    <row r="23" customFormat="false" ht="15" hidden="false" customHeight="true" outlineLevel="0" collapsed="false">
      <c r="A23" s="7" t="s">
        <v>200</v>
      </c>
      <c r="B23" s="7" t="s">
        <v>167</v>
      </c>
      <c r="C23" s="7" t="s">
        <v>156</v>
      </c>
      <c r="D23" s="7" t="n">
        <v>9</v>
      </c>
      <c r="E23" s="7" t="n">
        <f aca="false">COUNTIFS('Ứng viên'!B:B,A23,'Ứng viên'!L:L,"&lt;&gt;Chưa chạy")</f>
        <v>9</v>
      </c>
      <c r="F23" s="7" t="n">
        <f aca="false">COUNTIFS('Ứng viên'!B:B,A23,'Ứng viên'!L:L,"Pass")</f>
        <v>9</v>
      </c>
      <c r="G23" s="7" t="n">
        <f aca="false">COUNTIFS('Ứng viên'!B:B,A23,'Ứng viên'!L:L,"Fail")</f>
        <v>0</v>
      </c>
      <c r="H23" s="7" t="str">
        <f aca="false">IF(F23=D23,"Đã phủ",IF(G23&gt;0,"Có lỗi",IF(E23=0,"Chưa test","Đang test")))</f>
        <v>Đã phủ</v>
      </c>
    </row>
    <row r="24" customFormat="false" ht="15" hidden="false" customHeight="true" outlineLevel="0" collapsed="false">
      <c r="A24" s="7" t="s">
        <v>201</v>
      </c>
      <c r="B24" s="7" t="s">
        <v>167</v>
      </c>
      <c r="C24" s="7" t="s">
        <v>157</v>
      </c>
      <c r="D24" s="7" t="n">
        <v>9</v>
      </c>
      <c r="E24" s="7" t="n">
        <f aca="false">COUNTIFS('Ứng viên'!B:B,A24,'Ứng viên'!L:L,"&lt;&gt;Chưa chạy")</f>
        <v>9</v>
      </c>
      <c r="F24" s="7" t="n">
        <f aca="false">COUNTIFS('Ứng viên'!B:B,A24,'Ứng viên'!L:L,"Pass")</f>
        <v>9</v>
      </c>
      <c r="G24" s="7" t="n">
        <f aca="false">COUNTIFS('Ứng viên'!B:B,A24,'Ứng viên'!L:L,"Fail")</f>
        <v>0</v>
      </c>
      <c r="H24" s="7" t="str">
        <f aca="false">IF(F24=D24,"Đã phủ",IF(G24&gt;0,"Có lỗi",IF(E24=0,"Chưa test","Đang test")))</f>
        <v>Đã phủ</v>
      </c>
    </row>
    <row r="25" customFormat="false" ht="15" hidden="false" customHeight="true" outlineLevel="0" collapsed="false">
      <c r="A25" s="7" t="s">
        <v>202</v>
      </c>
      <c r="B25" s="7" t="s">
        <v>167</v>
      </c>
      <c r="C25" s="7" t="s">
        <v>156</v>
      </c>
      <c r="D25" s="7" t="n">
        <v>6</v>
      </c>
      <c r="E25" s="7" t="n">
        <f aca="false">COUNTIFS('Ứng viên'!B:B,A25,'Ứng viên'!L:L,"&lt;&gt;Chưa chạy")</f>
        <v>6</v>
      </c>
      <c r="F25" s="7" t="n">
        <f aca="false">COUNTIFS('Ứng viên'!B:B,A25,'Ứng viên'!L:L,"Pass")</f>
        <v>6</v>
      </c>
      <c r="G25" s="7" t="n">
        <f aca="false">COUNTIFS('Ứng viên'!B:B,A25,'Ứng viên'!L:L,"Fail")</f>
        <v>0</v>
      </c>
      <c r="H25" s="7" t="str">
        <f aca="false">IF(F25=D25,"Đã phủ",IF(G25&gt;0,"Có lỗi",IF(E25=0,"Chưa test","Đang test")))</f>
        <v>Đã phủ</v>
      </c>
    </row>
    <row r="26" customFormat="false" ht="15" hidden="false" customHeight="true" outlineLevel="0" collapsed="false">
      <c r="A26" s="7" t="s">
        <v>203</v>
      </c>
      <c r="B26" s="7" t="s">
        <v>167</v>
      </c>
      <c r="C26" s="7" t="s">
        <v>157</v>
      </c>
      <c r="D26" s="7" t="n">
        <v>4</v>
      </c>
      <c r="E26" s="7" t="n">
        <f aca="false">COUNTIFS('Ứng viên'!B:B,A26,'Ứng viên'!L:L,"&lt;&gt;Chưa chạy")</f>
        <v>4</v>
      </c>
      <c r="F26" s="7" t="n">
        <f aca="false">COUNTIFS('Ứng viên'!B:B,A26,'Ứng viên'!L:L,"Pass")</f>
        <v>4</v>
      </c>
      <c r="G26" s="7" t="n">
        <f aca="false">COUNTIFS('Ứng viên'!B:B,A26,'Ứng viên'!L:L,"Fail")</f>
        <v>0</v>
      </c>
      <c r="H26" s="7" t="str">
        <f aca="false">IF(F26=D26,"Đã phủ",IF(G26&gt;0,"Có lỗi",IF(E26=0,"Chưa test","Đang test")))</f>
        <v>Đã phủ</v>
      </c>
    </row>
    <row r="27" customFormat="false" ht="15" hidden="false" customHeight="true" outlineLevel="0" collapsed="false">
      <c r="A27" s="7" t="s">
        <v>204</v>
      </c>
      <c r="B27" s="7" t="s">
        <v>167</v>
      </c>
      <c r="C27" s="7" t="s">
        <v>156</v>
      </c>
      <c r="D27" s="7" t="n">
        <v>21</v>
      </c>
      <c r="E27" s="7" t="n">
        <f aca="false">COUNTIFS('Ứng viên'!B:B,A27,'Ứng viên'!L:L,"&lt;&gt;Chưa chạy")</f>
        <v>21</v>
      </c>
      <c r="F27" s="7" t="n">
        <f aca="false">COUNTIFS('Ứng viên'!B:B,A27,'Ứng viên'!L:L,"Pass")</f>
        <v>21</v>
      </c>
      <c r="G27" s="7" t="n">
        <f aca="false">COUNTIFS('Ứng viên'!B:B,A27,'Ứng viên'!L:L,"Fail")</f>
        <v>0</v>
      </c>
      <c r="H27" s="7" t="str">
        <f aca="false">IF(F27=D27,"Đã phủ",IF(G27&gt;0,"Có lỗi",IF(E27=0,"Chưa test","Đang test")))</f>
        <v>Đã phủ</v>
      </c>
    </row>
    <row r="28" customFormat="false" ht="15" hidden="false" customHeight="true" outlineLevel="0" collapsed="false">
      <c r="A28" s="7" t="s">
        <v>205</v>
      </c>
      <c r="B28" s="7" t="s">
        <v>168</v>
      </c>
      <c r="C28" s="7" t="s">
        <v>156</v>
      </c>
      <c r="D28" s="7" t="n">
        <v>8</v>
      </c>
      <c r="E28" s="7" t="n">
        <f aca="false">COUNTIFS('Nhà tuyển dụng'!B:B,A28,'Nhà tuyển dụng'!L:L,"&lt;&gt;Chưa chạy")</f>
        <v>8</v>
      </c>
      <c r="F28" s="7" t="n">
        <f aca="false">COUNTIFS('Nhà tuyển dụng'!B:B,A28,'Nhà tuyển dụng'!L:L,"Pass")</f>
        <v>8</v>
      </c>
      <c r="G28" s="7" t="n">
        <f aca="false">COUNTIFS('Nhà tuyển dụng'!B:B,A28,'Nhà tuyển dụng'!L:L,"Fail")</f>
        <v>0</v>
      </c>
      <c r="H28" s="7" t="str">
        <f aca="false">IF(F28=D28,"Đã phủ",IF(G28&gt;0,"Có lỗi",IF(E28=0,"Chưa test","Đang test")))</f>
        <v>Đã phủ</v>
      </c>
    </row>
    <row r="29" customFormat="false" ht="15" hidden="false" customHeight="true" outlineLevel="0" collapsed="false">
      <c r="A29" s="7" t="s">
        <v>206</v>
      </c>
      <c r="B29" s="7" t="s">
        <v>168</v>
      </c>
      <c r="C29" s="7" t="s">
        <v>156</v>
      </c>
      <c r="D29" s="7" t="n">
        <v>5</v>
      </c>
      <c r="E29" s="7" t="n">
        <f aca="false">COUNTIFS('Nhà tuyển dụng'!B:B,A29,'Nhà tuyển dụng'!L:L,"&lt;&gt;Chưa chạy")</f>
        <v>5</v>
      </c>
      <c r="F29" s="7" t="n">
        <f aca="false">COUNTIFS('Nhà tuyển dụng'!B:B,A29,'Nhà tuyển dụng'!L:L,"Pass")</f>
        <v>5</v>
      </c>
      <c r="G29" s="7" t="n">
        <f aca="false">COUNTIFS('Nhà tuyển dụng'!B:B,A29,'Nhà tuyển dụng'!L:L,"Fail")</f>
        <v>0</v>
      </c>
      <c r="H29" s="7" t="str">
        <f aca="false">IF(F29=D29,"Đã phủ",IF(G29&gt;0,"Có lỗi",IF(E29=0,"Chưa test","Đang test")))</f>
        <v>Đã phủ</v>
      </c>
    </row>
    <row r="30" customFormat="false" ht="15" hidden="false" customHeight="true" outlineLevel="0" collapsed="false">
      <c r="A30" s="7" t="s">
        <v>207</v>
      </c>
      <c r="B30" s="7" t="s">
        <v>168</v>
      </c>
      <c r="C30" s="7" t="s">
        <v>156</v>
      </c>
      <c r="D30" s="7" t="n">
        <v>13</v>
      </c>
      <c r="E30" s="7" t="n">
        <f aca="false">COUNTIFS('Nhà tuyển dụng'!B:B,A30,'Nhà tuyển dụng'!L:L,"&lt;&gt;Chưa chạy")</f>
        <v>13</v>
      </c>
      <c r="F30" s="7" t="n">
        <f aca="false">COUNTIFS('Nhà tuyển dụng'!B:B,A30,'Nhà tuyển dụng'!L:L,"Pass")</f>
        <v>13</v>
      </c>
      <c r="G30" s="7" t="n">
        <f aca="false">COUNTIFS('Nhà tuyển dụng'!B:B,A30,'Nhà tuyển dụng'!L:L,"Fail")</f>
        <v>0</v>
      </c>
      <c r="H30" s="7" t="str">
        <f aca="false">IF(F30=D30,"Đã phủ",IF(G30&gt;0,"Có lỗi",IF(E30=0,"Chưa test","Đang test")))</f>
        <v>Đã phủ</v>
      </c>
    </row>
    <row r="31" customFormat="false" ht="15" hidden="false" customHeight="true" outlineLevel="0" collapsed="false">
      <c r="A31" s="7" t="s">
        <v>208</v>
      </c>
      <c r="B31" s="7" t="s">
        <v>168</v>
      </c>
      <c r="C31" s="7" t="s">
        <v>156</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209</v>
      </c>
      <c r="B32" s="7" t="s">
        <v>168</v>
      </c>
      <c r="C32" s="7" t="s">
        <v>156</v>
      </c>
      <c r="D32" s="7" t="n">
        <v>12</v>
      </c>
      <c r="E32" s="7" t="n">
        <f aca="false">COUNTIFS('Nhà tuyển dụng'!B:B,A32,'Nhà tuyển dụng'!L:L,"&lt;&gt;Chưa chạy")</f>
        <v>12</v>
      </c>
      <c r="F32" s="7" t="n">
        <f aca="false">COUNTIFS('Nhà tuyển dụng'!B:B,A32,'Nhà tuyển dụng'!L:L,"Pass")</f>
        <v>12</v>
      </c>
      <c r="G32" s="7" t="n">
        <f aca="false">COUNTIFS('Nhà tuyển dụng'!B:B,A32,'Nhà tuyển dụng'!L:L,"Fail")</f>
        <v>0</v>
      </c>
      <c r="H32" s="7" t="str">
        <f aca="false">IF(F32=D32,"Đã phủ",IF(G32&gt;0,"Có lỗi",IF(E32=0,"Chưa test","Đang test")))</f>
        <v>Đã phủ</v>
      </c>
    </row>
    <row r="33" customFormat="false" ht="15" hidden="false" customHeight="true" outlineLevel="0" collapsed="false">
      <c r="A33" s="7" t="s">
        <v>210</v>
      </c>
      <c r="B33" s="7" t="s">
        <v>168</v>
      </c>
      <c r="C33" s="7" t="s">
        <v>156</v>
      </c>
      <c r="D33" s="7" t="n">
        <v>5</v>
      </c>
      <c r="E33" s="7" t="n">
        <f aca="false">COUNTIFS('Nhà tuyển dụng'!B:B,A33,'Nhà tuyển dụng'!L:L,"&lt;&gt;Chưa chạy")</f>
        <v>5</v>
      </c>
      <c r="F33" s="7" t="n">
        <f aca="false">COUNTIFS('Nhà tuyển dụng'!B:B,A33,'Nhà tuyển dụng'!L:L,"Pass")</f>
        <v>5</v>
      </c>
      <c r="G33" s="7" t="n">
        <f aca="false">COUNTIFS('Nhà tuyển dụng'!B:B,A33,'Nhà tuyển dụng'!L:L,"Fail")</f>
        <v>0</v>
      </c>
      <c r="H33" s="7" t="str">
        <f aca="false">IF(F33=D33,"Đã phủ",IF(G33&gt;0,"Có lỗi",IF(E33=0,"Chưa test","Đang test")))</f>
        <v>Đã phủ</v>
      </c>
    </row>
    <row r="34" customFormat="false" ht="15" hidden="false" customHeight="true" outlineLevel="0" collapsed="false">
      <c r="A34" s="7" t="s">
        <v>211</v>
      </c>
      <c r="B34" s="7" t="s">
        <v>168</v>
      </c>
      <c r="C34" s="7" t="s">
        <v>156</v>
      </c>
      <c r="D34" s="7" t="n">
        <v>4</v>
      </c>
      <c r="E34" s="7" t="n">
        <f aca="false">COUNTIFS('Nhà tuyển dụng'!B:B,A34,'Nhà tuyển dụng'!L:L,"&lt;&gt;Chưa chạy")</f>
        <v>4</v>
      </c>
      <c r="F34" s="7" t="n">
        <f aca="false">COUNTIFS('Nhà tuyển dụng'!B:B,A34,'Nhà tuyển dụng'!L:L,"Pass")</f>
        <v>4</v>
      </c>
      <c r="G34" s="7" t="n">
        <f aca="false">COUNTIFS('Nhà tuyển dụng'!B:B,A34,'Nhà tuyển dụng'!L:L,"Fail")</f>
        <v>0</v>
      </c>
      <c r="H34" s="7" t="str">
        <f aca="false">IF(F34=D34,"Đã phủ",IF(G34&gt;0,"Có lỗi",IF(E34=0,"Chưa test","Đang test")))</f>
        <v>Đã phủ</v>
      </c>
    </row>
    <row r="35" customFormat="false" ht="15" hidden="false" customHeight="true" outlineLevel="0" collapsed="false">
      <c r="A35" s="7" t="s">
        <v>212</v>
      </c>
      <c r="B35" s="7" t="s">
        <v>168</v>
      </c>
      <c r="C35" s="7" t="s">
        <v>156</v>
      </c>
      <c r="D35" s="7" t="n">
        <v>2</v>
      </c>
      <c r="E35" s="7" t="n">
        <f aca="false">COUNTIFS('Nhà tuyển dụng'!B:B,A35,'Nhà tuyển dụng'!L:L,"&lt;&gt;Chưa chạy")</f>
        <v>2</v>
      </c>
      <c r="F35" s="7" t="n">
        <f aca="false">COUNTIFS('Nhà tuyển dụng'!B:B,A35,'Nhà tuyển dụng'!L:L,"Pass")</f>
        <v>2</v>
      </c>
      <c r="G35" s="7" t="n">
        <f aca="false">COUNTIFS('Nhà tuyển dụng'!B:B,A35,'Nhà tuyển dụng'!L:L,"Fail")</f>
        <v>0</v>
      </c>
      <c r="H35" s="7" t="str">
        <f aca="false">IF(F35=D35,"Đã phủ",IF(G35&gt;0,"Có lỗi",IF(E35=0,"Chưa test","Đang test")))</f>
        <v>Đã phủ</v>
      </c>
    </row>
    <row r="36" customFormat="false" ht="15" hidden="false" customHeight="true" outlineLevel="0" collapsed="false">
      <c r="A36" s="7" t="s">
        <v>213</v>
      </c>
      <c r="B36" s="7" t="s">
        <v>168</v>
      </c>
      <c r="C36" s="7" t="s">
        <v>157</v>
      </c>
      <c r="D36" s="7" t="n">
        <v>2</v>
      </c>
      <c r="E36" s="7" t="n">
        <f aca="false">COUNTIFS('Nhà tuyển dụng'!B:B,A36,'Nhà tuyển dụng'!L:L,"&lt;&gt;Chưa chạy")</f>
        <v>2</v>
      </c>
      <c r="F36" s="7" t="n">
        <f aca="false">COUNTIFS('Nhà tuyển dụng'!B:B,A36,'Nhà tuyển dụng'!L:L,"Pass")</f>
        <v>2</v>
      </c>
      <c r="G36" s="7" t="n">
        <f aca="false">COUNTIFS('Nhà tuyển dụng'!B:B,A36,'Nhà tuyển dụng'!L:L,"Fail")</f>
        <v>0</v>
      </c>
      <c r="H36" s="7" t="str">
        <f aca="false">IF(F36=D36,"Đã phủ",IF(G36&gt;0,"Có lỗi",IF(E36=0,"Chưa test","Đang test")))</f>
        <v>Đã phủ</v>
      </c>
    </row>
    <row r="37" customFormat="false" ht="15" hidden="false" customHeight="true" outlineLevel="0" collapsed="false">
      <c r="A37" s="7" t="s">
        <v>214</v>
      </c>
      <c r="B37" s="7" t="s">
        <v>168</v>
      </c>
      <c r="C37" s="7" t="s">
        <v>157</v>
      </c>
      <c r="D37" s="7" t="n">
        <v>3</v>
      </c>
      <c r="E37" s="7" t="n">
        <f aca="false">COUNTIFS('Nhà tuyển dụng'!B:B,A37,'Nhà tuyển dụng'!L:L,"&lt;&gt;Chưa chạy")</f>
        <v>3</v>
      </c>
      <c r="F37" s="7" t="n">
        <f aca="false">COUNTIFS('Nhà tuyển dụng'!B:B,A37,'Nhà tuyển dụng'!L:L,"Pass")</f>
        <v>3</v>
      </c>
      <c r="G37" s="7" t="n">
        <f aca="false">COUNTIFS('Nhà tuyển dụng'!B:B,A37,'Nhà tuyển dụng'!L:L,"Fail")</f>
        <v>0</v>
      </c>
      <c r="H37" s="7" t="str">
        <f aca="false">IF(F37=D37,"Đã phủ",IF(G37&gt;0,"Có lỗi",IF(E37=0,"Chưa test","Đang test")))</f>
        <v>Đã phủ</v>
      </c>
    </row>
    <row r="38" customFormat="false" ht="15" hidden="false" customHeight="true" outlineLevel="0" collapsed="false">
      <c r="A38" s="7" t="s">
        <v>215</v>
      </c>
      <c r="B38" s="7" t="s">
        <v>168</v>
      </c>
      <c r="C38" s="7" t="s">
        <v>158</v>
      </c>
      <c r="D38" s="7" t="n">
        <v>17</v>
      </c>
      <c r="E38" s="7" t="n">
        <f aca="false">COUNTIFS('Nhà tuyển dụng'!B:B,A38,'Nhà tuyển dụng'!L:L,"&lt;&gt;Chưa chạy")</f>
        <v>17</v>
      </c>
      <c r="F38" s="7" t="n">
        <f aca="false">COUNTIFS('Nhà tuyển dụng'!B:B,A38,'Nhà tuyển dụng'!L:L,"Pass")</f>
        <v>17</v>
      </c>
      <c r="G38" s="7" t="n">
        <f aca="false">COUNTIFS('Nhà tuyển dụng'!B:B,A38,'Nhà tuyển dụng'!L:L,"Fail")</f>
        <v>0</v>
      </c>
      <c r="H38" s="7" t="str">
        <f aca="false">IF(F38=D38,"Đã phủ",IF(G38&gt;0,"Có lỗi",IF(E38=0,"Chưa test","Đang test")))</f>
        <v>Đã phủ</v>
      </c>
    </row>
    <row r="39" customFormat="false" ht="15" hidden="false" customHeight="true" outlineLevel="0" collapsed="false">
      <c r="A39" s="7" t="s">
        <v>216</v>
      </c>
      <c r="B39" s="7" t="s">
        <v>168</v>
      </c>
      <c r="C39" s="7" t="s">
        <v>156</v>
      </c>
      <c r="D39" s="7" t="n">
        <v>6</v>
      </c>
      <c r="E39" s="7" t="n">
        <f aca="false">COUNTIFS('Nhà tuyển dụng'!B:B,A39,'Nhà tuyển dụng'!L:L,"&lt;&gt;Chưa chạy")</f>
        <v>6</v>
      </c>
      <c r="F39" s="7" t="n">
        <f aca="false">COUNTIFS('Nhà tuyển dụng'!B:B,A39,'Nhà tuyển dụng'!L:L,"Pass")</f>
        <v>6</v>
      </c>
      <c r="G39" s="7" t="n">
        <f aca="false">COUNTIFS('Nhà tuyển dụng'!B:B,A39,'Nhà tuyển dụng'!L:L,"Fail")</f>
        <v>0</v>
      </c>
      <c r="H39" s="7" t="str">
        <f aca="false">IF(F39=D39,"Đã phủ",IF(G39&gt;0,"Có lỗi",IF(E39=0,"Chưa test","Đang test")))</f>
        <v>Đã phủ</v>
      </c>
    </row>
    <row r="40" customFormat="false" ht="15" hidden="false" customHeight="true" outlineLevel="0" collapsed="false">
      <c r="A40" s="7" t="s">
        <v>217</v>
      </c>
      <c r="B40" s="7" t="s">
        <v>168</v>
      </c>
      <c r="C40" s="7" t="s">
        <v>157</v>
      </c>
      <c r="D40" s="7" t="n">
        <v>5</v>
      </c>
      <c r="E40" s="7" t="n">
        <f aca="false">COUNTIFS('Nhà tuyển dụng'!B:B,A40,'Nhà tuyển dụng'!L:L,"&lt;&gt;Chưa chạy")</f>
        <v>5</v>
      </c>
      <c r="F40" s="7" t="n">
        <f aca="false">COUNTIFS('Nhà tuyển dụng'!B:B,A40,'Nhà tuyển dụng'!L:L,"Pass")</f>
        <v>5</v>
      </c>
      <c r="G40" s="7" t="n">
        <f aca="false">COUNTIFS('Nhà tuyển dụng'!B:B,A40,'Nhà tuyển dụng'!L:L,"Fail")</f>
        <v>0</v>
      </c>
      <c r="H40" s="7" t="str">
        <f aca="false">IF(F40=D40,"Đã phủ",IF(G40&gt;0,"Có lỗi",IF(E40=0,"Chưa test","Đang test")))</f>
        <v>Đã phủ</v>
      </c>
    </row>
    <row r="41" customFormat="false" ht="15" hidden="false" customHeight="true" outlineLevel="0" collapsed="false">
      <c r="A41" s="7" t="s">
        <v>218</v>
      </c>
      <c r="B41" s="7" t="s">
        <v>168</v>
      </c>
      <c r="C41" s="7" t="s">
        <v>157</v>
      </c>
      <c r="D41" s="7" t="n">
        <v>12</v>
      </c>
      <c r="E41" s="7" t="n">
        <f aca="false">COUNTIFS('Nhà tuyển dụng'!B:B,A41,'Nhà tuyển dụng'!L:L,"&lt;&gt;Chưa chạy")</f>
        <v>12</v>
      </c>
      <c r="F41" s="7" t="n">
        <f aca="false">COUNTIFS('Nhà tuyển dụng'!B:B,A41,'Nhà tuyển dụng'!L:L,"Pass")</f>
        <v>12</v>
      </c>
      <c r="G41" s="7" t="n">
        <f aca="false">COUNTIFS('Nhà tuyển dụng'!B:B,A41,'Nhà tuyển dụng'!L:L,"Fail")</f>
        <v>0</v>
      </c>
      <c r="H41" s="7" t="str">
        <f aca="false">IF(F41=D41,"Đã phủ",IF(G41&gt;0,"Có lỗi",IF(E41=0,"Chưa test","Đang test")))</f>
        <v>Đã phủ</v>
      </c>
    </row>
    <row r="42" customFormat="false" ht="15" hidden="false" customHeight="true" outlineLevel="0" collapsed="false">
      <c r="A42" s="7" t="s">
        <v>219</v>
      </c>
      <c r="B42" s="7" t="s">
        <v>168</v>
      </c>
      <c r="C42" s="7" t="s">
        <v>157</v>
      </c>
      <c r="D42" s="7" t="n">
        <v>5</v>
      </c>
      <c r="E42" s="7" t="n">
        <f aca="false">COUNTIFS('Nhà tuyển dụng'!B:B,A42,'Nhà tuyển dụng'!L:L,"&lt;&gt;Chưa chạy")</f>
        <v>5</v>
      </c>
      <c r="F42" s="7" t="n">
        <f aca="false">COUNTIFS('Nhà tuyển dụng'!B:B,A42,'Nhà tuyển dụng'!L:L,"Pass")</f>
        <v>5</v>
      </c>
      <c r="G42" s="7" t="n">
        <f aca="false">COUNTIFS('Nhà tuyển dụng'!B:B,A42,'Nhà tuyển dụng'!L:L,"Fail")</f>
        <v>0</v>
      </c>
      <c r="H42" s="7" t="str">
        <f aca="false">IF(F42=D42,"Đã phủ",IF(G42&gt;0,"Có lỗi",IF(E42=0,"Chưa test","Đang test")))</f>
        <v>Đã phủ</v>
      </c>
    </row>
    <row r="43" customFormat="false" ht="15" hidden="false" customHeight="true" outlineLevel="0" collapsed="false">
      <c r="A43" s="7" t="s">
        <v>220</v>
      </c>
      <c r="B43" s="7" t="s">
        <v>168</v>
      </c>
      <c r="C43" s="7" t="s">
        <v>156</v>
      </c>
      <c r="D43" s="7" t="n">
        <v>12</v>
      </c>
      <c r="E43" s="7" t="n">
        <f aca="false">COUNTIFS('Nhà tuyển dụng'!B:B,A43,'Nhà tuyển dụng'!L:L,"&lt;&gt;Chưa chạy")</f>
        <v>12</v>
      </c>
      <c r="F43" s="7" t="n">
        <f aca="false">COUNTIFS('Nhà tuyển dụng'!B:B,A43,'Nhà tuyển dụng'!L:L,"Pass")</f>
        <v>12</v>
      </c>
      <c r="G43" s="7" t="n">
        <f aca="false">COUNTIFS('Nhà tuyển dụng'!B:B,A43,'Nhà tuyển dụng'!L:L,"Fail")</f>
        <v>0</v>
      </c>
      <c r="H43" s="7" t="str">
        <f aca="false">IF(F43=D43,"Đã phủ",IF(G43&gt;0,"Có lỗi",IF(E43=0,"Chưa test","Đang test")))</f>
        <v>Đã phủ</v>
      </c>
    </row>
    <row r="44" customFormat="false" ht="15" hidden="false" customHeight="true" outlineLevel="0" collapsed="false">
      <c r="A44" s="7" t="s">
        <v>221</v>
      </c>
      <c r="B44" s="7" t="s">
        <v>169</v>
      </c>
      <c r="C44" s="7" t="s">
        <v>156</v>
      </c>
      <c r="D44" s="7" t="n">
        <v>3</v>
      </c>
      <c r="E44" s="7" t="n">
        <f aca="false">COUNTIFS(Admin!B:B,A44,Admin!L:L,"&lt;&gt;Chưa chạy")</f>
        <v>3</v>
      </c>
      <c r="F44" s="7" t="n">
        <f aca="false">COUNTIFS(Admin!B:B,A44,Admin!L:L,"Pass")</f>
        <v>3</v>
      </c>
      <c r="G44" s="7" t="n">
        <f aca="false">COUNTIFS(Admin!B:B,A44,Admin!L:L,"Fail")</f>
        <v>0</v>
      </c>
      <c r="H44" s="7" t="str">
        <f aca="false">IF(F44=D44,"Đã phủ",IF(G44&gt;0,"Có lỗi",IF(E44=0,"Chưa test","Đang test")))</f>
        <v>Đã phủ</v>
      </c>
    </row>
    <row r="45" customFormat="false" ht="15" hidden="false" customHeight="true" outlineLevel="0" collapsed="false">
      <c r="A45" s="7" t="s">
        <v>222</v>
      </c>
      <c r="B45" s="7" t="s">
        <v>169</v>
      </c>
      <c r="C45" s="7" t="s">
        <v>157</v>
      </c>
      <c r="D45" s="7" t="n">
        <v>1</v>
      </c>
      <c r="E45" s="7" t="n">
        <f aca="false">COUNTIFS(Admin!B:B,A45,Admin!L:L,"&lt;&gt;Chưa chạy")</f>
        <v>1</v>
      </c>
      <c r="F45" s="7" t="n">
        <f aca="false">COUNTIFS(Admin!B:B,A45,Admin!L:L,"Pass")</f>
        <v>1</v>
      </c>
      <c r="G45" s="7" t="n">
        <f aca="false">COUNTIFS(Admin!B:B,A45,Admin!L:L,"Fail")</f>
        <v>0</v>
      </c>
      <c r="H45" s="7" t="str">
        <f aca="false">IF(F45=D45,"Đã phủ",IF(G45&gt;0,"Có lỗi",IF(E45=0,"Chưa test","Đang test")))</f>
        <v>Đã phủ</v>
      </c>
    </row>
    <row r="46" customFormat="false" ht="15" hidden="false" customHeight="true" outlineLevel="0" collapsed="false">
      <c r="A46" s="7" t="s">
        <v>223</v>
      </c>
      <c r="B46" s="7" t="s">
        <v>169</v>
      </c>
      <c r="C46" s="7" t="s">
        <v>156</v>
      </c>
      <c r="D46" s="7" t="n">
        <v>6</v>
      </c>
      <c r="E46" s="7" t="n">
        <f aca="false">COUNTIFS(Admin!B:B,A46,Admin!L:L,"&lt;&gt;Chưa chạy")</f>
        <v>6</v>
      </c>
      <c r="F46" s="7" t="n">
        <f aca="false">COUNTIFS(Admin!B:B,A46,Admin!L:L,"Pass")</f>
        <v>6</v>
      </c>
      <c r="G46" s="7" t="n">
        <f aca="false">COUNTIFS(Admin!B:B,A46,Admin!L:L,"Fail")</f>
        <v>0</v>
      </c>
      <c r="H46" s="7" t="str">
        <f aca="false">IF(F46=D46,"Đã phủ",IF(G46&gt;0,"Có lỗi",IF(E46=0,"Chưa test","Đang test")))</f>
        <v>Đã phủ</v>
      </c>
    </row>
    <row r="47" customFormat="false" ht="15" hidden="false" customHeight="true" outlineLevel="0" collapsed="false">
      <c r="A47" s="7" t="s">
        <v>224</v>
      </c>
      <c r="B47" s="7" t="s">
        <v>169</v>
      </c>
      <c r="C47" s="7" t="s">
        <v>156</v>
      </c>
      <c r="D47" s="7" t="n">
        <v>4</v>
      </c>
      <c r="E47" s="7" t="n">
        <f aca="false">COUNTIFS(Admin!B:B,A47,Admin!L:L,"&lt;&gt;Chưa chạy")</f>
        <v>4</v>
      </c>
      <c r="F47" s="7" t="n">
        <f aca="false">COUNTIFS(Admin!B:B,A47,Admin!L:L,"Pass")</f>
        <v>4</v>
      </c>
      <c r="G47" s="7" t="n">
        <f aca="false">COUNTIFS(Admin!B:B,A47,Admin!L:L,"Fail")</f>
        <v>0</v>
      </c>
      <c r="H47" s="7" t="str">
        <f aca="false">IF(F47=D47,"Đã phủ",IF(G47&gt;0,"Có lỗi",IF(E47=0,"Chưa test","Đang test")))</f>
        <v>Đã phủ</v>
      </c>
    </row>
    <row r="48" customFormat="false" ht="15" hidden="false" customHeight="true" outlineLevel="0" collapsed="false">
      <c r="A48" s="7" t="s">
        <v>225</v>
      </c>
      <c r="B48" s="7" t="s">
        <v>169</v>
      </c>
      <c r="C48" s="7" t="s">
        <v>156</v>
      </c>
      <c r="D48" s="7" t="n">
        <v>7</v>
      </c>
      <c r="E48" s="7" t="n">
        <f aca="false">COUNTIFS(Admin!B:B,A48,Admin!L:L,"&lt;&gt;Chưa chạy")</f>
        <v>7</v>
      </c>
      <c r="F48" s="7" t="n">
        <f aca="false">COUNTIFS(Admin!B:B,A48,Admin!L:L,"Pass")</f>
        <v>7</v>
      </c>
      <c r="G48" s="7" t="n">
        <f aca="false">COUNTIFS(Admin!B:B,A48,Admin!L:L,"Fail")</f>
        <v>0</v>
      </c>
      <c r="H48" s="7" t="str">
        <f aca="false">IF(F48=D48,"Đã phủ",IF(G48&gt;0,"Có lỗi",IF(E48=0,"Chưa test","Đang test")))</f>
        <v>Đã phủ</v>
      </c>
    </row>
    <row r="49" customFormat="false" ht="15" hidden="false" customHeight="true" outlineLevel="0" collapsed="false">
      <c r="A49" s="7" t="s">
        <v>226</v>
      </c>
      <c r="B49" s="7" t="s">
        <v>169</v>
      </c>
      <c r="C49" s="7" t="s">
        <v>156</v>
      </c>
      <c r="D49" s="7" t="n">
        <v>6</v>
      </c>
      <c r="E49" s="7" t="n">
        <f aca="false">COUNTIFS(Admin!B:B,A49,Admin!L:L,"&lt;&gt;Chưa chạy")</f>
        <v>6</v>
      </c>
      <c r="F49" s="7" t="n">
        <f aca="false">COUNTIFS(Admin!B:B,A49,Admin!L:L,"Pass")</f>
        <v>6</v>
      </c>
      <c r="G49" s="7" t="n">
        <f aca="false">COUNTIFS(Admin!B:B,A49,Admin!L:L,"Fail")</f>
        <v>0</v>
      </c>
      <c r="H49" s="7" t="str">
        <f aca="false">IF(F49=D49,"Đã phủ",IF(G49&gt;0,"Có lỗi",IF(E49=0,"Chưa test","Đang test")))</f>
        <v>Đã phủ</v>
      </c>
    </row>
    <row r="50" customFormat="false" ht="15" hidden="false" customHeight="true" outlineLevel="0" collapsed="false">
      <c r="A50" s="7" t="s">
        <v>227</v>
      </c>
      <c r="B50" s="7" t="s">
        <v>169</v>
      </c>
      <c r="C50" s="7" t="s">
        <v>156</v>
      </c>
      <c r="D50" s="7" t="n">
        <v>5</v>
      </c>
      <c r="E50" s="7" t="n">
        <f aca="false">COUNTIFS(Admin!B:B,A50,Admin!L:L,"&lt;&gt;Chưa chạy")</f>
        <v>5</v>
      </c>
      <c r="F50" s="7" t="n">
        <f aca="false">COUNTIFS(Admin!B:B,A50,Admin!L:L,"Pass")</f>
        <v>5</v>
      </c>
      <c r="G50" s="7" t="n">
        <f aca="false">COUNTIFS(Admin!B:B,A50,Admin!L:L,"Fail")</f>
        <v>0</v>
      </c>
      <c r="H50" s="7" t="str">
        <f aca="false">IF(F50=D50,"Đã phủ",IF(G50&gt;0,"Có lỗi",IF(E50=0,"Chưa test","Đang test")))</f>
        <v>Đã phủ</v>
      </c>
    </row>
    <row r="51" customFormat="false" ht="15" hidden="false" customHeight="true" outlineLevel="0" collapsed="false">
      <c r="A51" s="7" t="s">
        <v>228</v>
      </c>
      <c r="B51" s="7" t="s">
        <v>169</v>
      </c>
      <c r="C51" s="7" t="s">
        <v>157</v>
      </c>
      <c r="D51" s="7" t="n">
        <v>5</v>
      </c>
      <c r="E51" s="7" t="n">
        <f aca="false">COUNTIFS(Admin!B:B,A51,Admin!L:L,"&lt;&gt;Chưa chạy")</f>
        <v>5</v>
      </c>
      <c r="F51" s="7" t="n">
        <f aca="false">COUNTIFS(Admin!B:B,A51,Admin!L:L,"Pass")</f>
        <v>5</v>
      </c>
      <c r="G51" s="7" t="n">
        <f aca="false">COUNTIFS(Admin!B:B,A51,Admin!L:L,"Fail")</f>
        <v>0</v>
      </c>
      <c r="H51" s="7" t="str">
        <f aca="false">IF(F51=D51,"Đã phủ",IF(G51&gt;0,"Có lỗi",IF(E51=0,"Chưa test","Đang test")))</f>
        <v>Đã phủ</v>
      </c>
    </row>
    <row r="52" customFormat="false" ht="15" hidden="false" customHeight="true" outlineLevel="0" collapsed="false">
      <c r="A52" s="7" t="s">
        <v>229</v>
      </c>
      <c r="B52" s="7" t="s">
        <v>169</v>
      </c>
      <c r="C52" s="7" t="s">
        <v>157</v>
      </c>
      <c r="D52" s="7" t="n">
        <v>4</v>
      </c>
      <c r="E52" s="7" t="n">
        <f aca="false">COUNTIFS(Admin!B:B,A52,Admin!L:L,"&lt;&gt;Chưa chạy")</f>
        <v>4</v>
      </c>
      <c r="F52" s="7" t="n">
        <f aca="false">COUNTIFS(Admin!B:B,A52,Admin!L:L,"Pass")</f>
        <v>4</v>
      </c>
      <c r="G52" s="7" t="n">
        <f aca="false">COUNTIFS(Admin!B:B,A52,Admin!L:L,"Fail")</f>
        <v>0</v>
      </c>
      <c r="H52" s="7" t="str">
        <f aca="false">IF(F52=D52,"Đã phủ",IF(G52&gt;0,"Có lỗi",IF(E52=0,"Chưa test","Đang test")))</f>
        <v>Đã phủ</v>
      </c>
    </row>
    <row r="53" customFormat="false" ht="15" hidden="false" customHeight="true" outlineLevel="0" collapsed="false">
      <c r="A53" s="7" t="s">
        <v>230</v>
      </c>
      <c r="B53" s="7" t="s">
        <v>169</v>
      </c>
      <c r="C53" s="7" t="s">
        <v>157</v>
      </c>
      <c r="D53" s="7" t="n">
        <v>3</v>
      </c>
      <c r="E53" s="7" t="n">
        <f aca="false">COUNTIFS(Admin!B:B,A53,Admin!L:L,"&lt;&gt;Chưa chạy")</f>
        <v>3</v>
      </c>
      <c r="F53" s="7" t="n">
        <f aca="false">COUNTIFS(Admin!B:B,A53,Admin!L:L,"Pass")</f>
        <v>3</v>
      </c>
      <c r="G53" s="7" t="n">
        <f aca="false">COUNTIFS(Admin!B:B,A53,Admin!L:L,"Fail")</f>
        <v>0</v>
      </c>
      <c r="H53" s="7" t="str">
        <f aca="false">IF(F53=D53,"Đã phủ",IF(G53&gt;0,"Có lỗi",IF(E53=0,"Chưa test","Đang test")))</f>
        <v>Đã phủ</v>
      </c>
    </row>
    <row r="54" customFormat="false" ht="15" hidden="false" customHeight="true" outlineLevel="0" collapsed="false">
      <c r="A54" s="7" t="s">
        <v>231</v>
      </c>
      <c r="B54" s="7" t="s">
        <v>169</v>
      </c>
      <c r="C54" s="7" t="s">
        <v>157</v>
      </c>
      <c r="D54" s="7" t="n">
        <v>3</v>
      </c>
      <c r="E54" s="7" t="n">
        <f aca="false">COUNTIFS(Admin!B:B,A54,Admin!L:L,"&lt;&gt;Chưa chạy")</f>
        <v>3</v>
      </c>
      <c r="F54" s="7" t="n">
        <f aca="false">COUNTIFS(Admin!B:B,A54,Admin!L:L,"Pass")</f>
        <v>3</v>
      </c>
      <c r="G54" s="7" t="n">
        <f aca="false">COUNTIFS(Admin!B:B,A54,Admin!L:L,"Fail")</f>
        <v>0</v>
      </c>
      <c r="H54" s="7" t="str">
        <f aca="false">IF(F54=D54,"Đã phủ",IF(G54&gt;0,"Có lỗi",IF(E54=0,"Chưa test","Đang test")))</f>
        <v>Đã phủ</v>
      </c>
    </row>
    <row r="55" customFormat="false" ht="15" hidden="false" customHeight="true" outlineLevel="0" collapsed="false">
      <c r="A55" s="7" t="s">
        <v>232</v>
      </c>
      <c r="B55" s="7" t="s">
        <v>169</v>
      </c>
      <c r="C55" s="7" t="s">
        <v>157</v>
      </c>
      <c r="D55" s="7" t="n">
        <v>7</v>
      </c>
      <c r="E55" s="7" t="n">
        <f aca="false">COUNTIFS(Admin!B:B,A55,Admin!L:L,"&lt;&gt;Chưa chạy")</f>
        <v>7</v>
      </c>
      <c r="F55" s="7" t="n">
        <f aca="false">COUNTIFS(Admin!B:B,A55,Admin!L:L,"Pass")</f>
        <v>7</v>
      </c>
      <c r="G55" s="7" t="n">
        <f aca="false">COUNTIFS(Admin!B:B,A55,Admin!L:L,"Fail")</f>
        <v>0</v>
      </c>
      <c r="H55" s="7" t="str">
        <f aca="false">IF(F55=D55,"Đã phủ",IF(G55&gt;0,"Có lỗi",IF(E55=0,"Chưa test","Đang test")))</f>
        <v>Đã phủ</v>
      </c>
    </row>
    <row r="56" customFormat="false" ht="15" hidden="false" customHeight="true" outlineLevel="0" collapsed="false">
      <c r="A56" s="7" t="s">
        <v>233</v>
      </c>
      <c r="B56" s="7" t="s">
        <v>169</v>
      </c>
      <c r="C56" s="7" t="s">
        <v>157</v>
      </c>
      <c r="D56" s="7" t="n">
        <v>10</v>
      </c>
      <c r="E56" s="7" t="n">
        <f aca="false">COUNTIFS(Admin!B:B,A56,Admin!L:L,"&lt;&gt;Chưa chạy")</f>
        <v>10</v>
      </c>
      <c r="F56" s="7" t="n">
        <f aca="false">COUNTIFS(Admin!B:B,A56,Admin!L:L,"Pass")</f>
        <v>10</v>
      </c>
      <c r="G56" s="7" t="n">
        <f aca="false">COUNTIFS(Admin!B:B,A56,Admin!L:L,"Fail")</f>
        <v>0</v>
      </c>
      <c r="H56" s="7" t="str">
        <f aca="false">IF(F56=D56,"Đã phủ",IF(G56&gt;0,"Có lỗi",IF(E56=0,"Chưa test","Đang test")))</f>
        <v>Đã phủ</v>
      </c>
    </row>
    <row r="57" customFormat="false" ht="15" hidden="false" customHeight="true" outlineLevel="0" collapsed="false">
      <c r="A57" s="7" t="s">
        <v>234</v>
      </c>
      <c r="B57" s="7" t="s">
        <v>169</v>
      </c>
      <c r="C57" s="7" t="s">
        <v>156</v>
      </c>
      <c r="D57" s="7" t="n">
        <v>7</v>
      </c>
      <c r="E57" s="7" t="n">
        <f aca="false">COUNTIFS(Admin!B:B,A57,Admin!L:L,"&lt;&gt;Chưa chạy")</f>
        <v>7</v>
      </c>
      <c r="F57" s="7" t="n">
        <f aca="false">COUNTIFS(Admin!B:B,A57,Admin!L:L,"Pass")</f>
        <v>7</v>
      </c>
      <c r="G57" s="7" t="n">
        <f aca="false">COUNTIFS(Admin!B:B,A57,Admin!L:L,"Fail")</f>
        <v>0</v>
      </c>
      <c r="H57" s="7" t="str">
        <f aca="false">IF(F57=D57,"Đã phủ",IF(G57&gt;0,"Có lỗi",IF(E57=0,"Chưa test","Đang test")))</f>
        <v>Đã phủ</v>
      </c>
    </row>
    <row r="58" customFormat="false" ht="15" hidden="false" customHeight="true" outlineLevel="0" collapsed="false">
      <c r="A58" s="7" t="s">
        <v>235</v>
      </c>
      <c r="B58" s="7" t="s">
        <v>170</v>
      </c>
      <c r="C58" s="7" t="s">
        <v>157</v>
      </c>
      <c r="D58" s="7" t="n">
        <v>15</v>
      </c>
      <c r="E58" s="7" t="n">
        <f aca="false">COUNTIFS('Hỗ trợ (chung)'!B:B,A58,'Hỗ trợ (chung)'!L:L,"&lt;&gt;Chưa chạy")</f>
        <v>15</v>
      </c>
      <c r="F58" s="7" t="n">
        <f aca="false">COUNTIFS('Hỗ trợ (chung)'!B:B,A58,'Hỗ trợ (chung)'!L:L,"Pass")</f>
        <v>15</v>
      </c>
      <c r="G58" s="7" t="n">
        <f aca="false">COUNTIFS('Hỗ trợ (chung)'!B:B,A58,'Hỗ trợ (chung)'!L:L,"Fail")</f>
        <v>0</v>
      </c>
      <c r="H58" s="7" t="str">
        <f aca="false">IF(F58=D58,"Đã phủ",IF(G58&gt;0,"Có lỗi",IF(E58=0,"Chưa test","Đang test")))</f>
        <v>Đã phủ</v>
      </c>
    </row>
    <row r="59" customFormat="false" ht="15" hidden="false" customHeight="true" outlineLevel="0" collapsed="false">
      <c r="A59" s="7" t="s">
        <v>236</v>
      </c>
      <c r="B59" s="7" t="s">
        <v>171</v>
      </c>
      <c r="C59" s="7" t="s">
        <v>156</v>
      </c>
      <c r="D59" s="7" t="n">
        <v>8</v>
      </c>
      <c r="E59" s="7" t="n">
        <f aca="false">COUNTIFS('Quy tắc trạng thái'!B:B,A59,'Quy tắc trạng thái'!L:L,"&lt;&gt;Chưa chạy")</f>
        <v>8</v>
      </c>
      <c r="F59" s="7" t="n">
        <f aca="false">COUNTIFS('Quy tắc trạng thái'!B:B,A59,'Quy tắc trạng thái'!L:L,"Pass")</f>
        <v>8</v>
      </c>
      <c r="G59" s="7" t="n">
        <f aca="false">COUNTIFS('Quy tắc trạng thái'!B:B,A59,'Quy tắc trạng thái'!L:L,"Fail")</f>
        <v>0</v>
      </c>
      <c r="H59" s="7" t="str">
        <f aca="false">IF(F59=D59,"Đã phủ",IF(G59&gt;0,"Có lỗi",IF(E59=0,"Chưa test","Đang test")))</f>
        <v>Đã phủ</v>
      </c>
    </row>
    <row r="60" customFormat="false" ht="15" hidden="false" customHeight="true" outlineLevel="0" collapsed="false">
      <c r="A60" s="7" t="s">
        <v>237</v>
      </c>
      <c r="B60" s="7" t="s">
        <v>171</v>
      </c>
      <c r="C60" s="7" t="s">
        <v>156</v>
      </c>
      <c r="D60" s="7" t="n">
        <v>13</v>
      </c>
      <c r="E60" s="7" t="n">
        <f aca="false">COUNTIFS('Quy tắc trạng thái'!B:B,A60,'Quy tắc trạng thái'!L:L,"&lt;&gt;Chưa chạy")</f>
        <v>13</v>
      </c>
      <c r="F60" s="7" t="n">
        <f aca="false">COUNTIFS('Quy tắc trạng thái'!B:B,A60,'Quy tắc trạng thái'!L:L,"Pass")</f>
        <v>13</v>
      </c>
      <c r="G60" s="7" t="n">
        <f aca="false">COUNTIFS('Quy tắc trạng thái'!B:B,A60,'Quy tắc trạng thái'!L:L,"Fail")</f>
        <v>0</v>
      </c>
      <c r="H60" s="7" t="str">
        <f aca="false">IF(F60=D60,"Đã phủ",IF(G60&gt;0,"Có lỗi",IF(E60=0,"Chưa test","Đang test")))</f>
        <v>Đã phủ</v>
      </c>
    </row>
    <row r="61" customFormat="false" ht="15" hidden="false" customHeight="true" outlineLevel="0" collapsed="false">
      <c r="A61" s="7" t="s">
        <v>238</v>
      </c>
      <c r="B61" s="7" t="s">
        <v>171</v>
      </c>
      <c r="C61" s="7" t="s">
        <v>156</v>
      </c>
      <c r="D61" s="7" t="n">
        <v>3</v>
      </c>
      <c r="E61" s="7" t="n">
        <f aca="false">COUNTIFS('Quy tắc trạng thái'!B:B,A61,'Quy tắc trạng thái'!L:L,"&lt;&gt;Chưa chạy")</f>
        <v>3</v>
      </c>
      <c r="F61" s="7" t="n">
        <f aca="false">COUNTIFS('Quy tắc trạng thái'!B:B,A61,'Quy tắc trạng thái'!L:L,"Pass")</f>
        <v>3</v>
      </c>
      <c r="G61" s="7" t="n">
        <f aca="false">COUNTIFS('Quy tắc trạng thái'!B:B,A61,'Quy tắc trạng thái'!L:L,"Fail")</f>
        <v>0</v>
      </c>
      <c r="H61" s="7" t="str">
        <f aca="false">IF(F61=D61,"Đã phủ",IF(G61&gt;0,"Có lỗi",IF(E61=0,"Chưa test","Đang test")))</f>
        <v>Đã phủ</v>
      </c>
    </row>
    <row r="62" customFormat="false" ht="15" hidden="false" customHeight="true" outlineLevel="0" collapsed="false">
      <c r="A62" s="7" t="s">
        <v>239</v>
      </c>
      <c r="B62" s="7" t="s">
        <v>172</v>
      </c>
      <c r="C62" s="7" t="s">
        <v>156</v>
      </c>
      <c r="D62" s="7" t="n">
        <v>13</v>
      </c>
      <c r="E62" s="7" t="n">
        <f aca="false">COUNTIFS('Phi chức năng'!B:B,A62,'Phi chức năng'!L:L,"&lt;&gt;Chưa chạy")</f>
        <v>13</v>
      </c>
      <c r="F62" s="7" t="n">
        <f aca="false">COUNTIFS('Phi chức năng'!B:B,A62,'Phi chức năng'!L:L,"Pass")</f>
        <v>13</v>
      </c>
      <c r="G62" s="7" t="n">
        <f aca="false">COUNTIFS('Phi chức năng'!B:B,A62,'Phi chức năng'!L:L,"Fail")</f>
        <v>0</v>
      </c>
      <c r="H62" s="7" t="str">
        <f aca="false">IF(F62=D62,"Đã phủ",IF(G62&gt;0,"Có lỗi",IF(E62=0,"Chưa test","Đang test")))</f>
        <v>Đã phủ</v>
      </c>
    </row>
    <row r="63" customFormat="false" ht="15" hidden="false" customHeight="true" outlineLevel="0" collapsed="false">
      <c r="A63" s="7" t="s">
        <v>240</v>
      </c>
      <c r="B63" s="7" t="s">
        <v>172</v>
      </c>
      <c r="C63" s="7" t="s">
        <v>157</v>
      </c>
      <c r="D63" s="7" t="n">
        <v>3</v>
      </c>
      <c r="E63" s="7" t="n">
        <f aca="false">COUNTIFS('Phi chức năng'!B:B,A63,'Phi chức năng'!L:L,"&lt;&gt;Chưa chạy")</f>
        <v>3</v>
      </c>
      <c r="F63" s="7" t="n">
        <f aca="false">COUNTIFS('Phi chức năng'!B:B,A63,'Phi chức năng'!L:L,"Pass")</f>
        <v>1</v>
      </c>
      <c r="G63" s="7" t="n">
        <f aca="false">COUNTIFS('Phi chức năng'!B:B,A63,'Phi chức năng'!L:L,"Fail")</f>
        <v>0</v>
      </c>
      <c r="H63" s="7" t="str">
        <f aca="false">IF(F63=D63,"Đã phủ",IF(G63&gt;0,"Có lỗi",IF(E63=0,"Chưa test","Đang test")))</f>
        <v>Đang test</v>
      </c>
    </row>
    <row r="64" customFormat="false" ht="15" hidden="false" customHeight="true" outlineLevel="0" collapsed="false">
      <c r="A64" s="7" t="s">
        <v>241</v>
      </c>
      <c r="B64" s="7" t="s">
        <v>172</v>
      </c>
      <c r="C64" s="7" t="s">
        <v>157</v>
      </c>
      <c r="D64" s="7" t="n">
        <v>3</v>
      </c>
      <c r="E64" s="7" t="n">
        <f aca="false">COUNTIFS('Phi chức năng'!B:B,A64,'Phi chức năng'!L:L,"&lt;&gt;Chưa chạy")</f>
        <v>3</v>
      </c>
      <c r="F64" s="7" t="n">
        <f aca="false">COUNTIFS('Phi chức năng'!B:B,A64,'Phi chức năng'!L:L,"Pass")</f>
        <v>2</v>
      </c>
      <c r="G64" s="7" t="n">
        <f aca="false">COUNTIFS('Phi chức năng'!B:B,A64,'Phi chức năng'!L:L,"Fail")</f>
        <v>0</v>
      </c>
      <c r="H64" s="7" t="str">
        <f aca="false">IF(F64=D64,"Đã phủ",IF(G64&gt;0,"Có lỗi",IF(E64=0,"Chưa test","Đang test")))</f>
        <v>Đang test</v>
      </c>
    </row>
    <row r="65" customFormat="false" ht="15" hidden="false" customHeight="true" outlineLevel="0" collapsed="false">
      <c r="A65" s="7" t="s">
        <v>242</v>
      </c>
      <c r="B65" s="7" t="s">
        <v>172</v>
      </c>
      <c r="C65" s="7" t="s">
        <v>157</v>
      </c>
      <c r="D65" s="7" t="n">
        <v>6</v>
      </c>
      <c r="E65" s="7" t="n">
        <f aca="false">COUNTIFS('Phi chức năng'!B:B,A65,'Phi chức năng'!L:L,"&lt;&gt;Chưa chạy")</f>
        <v>6</v>
      </c>
      <c r="F65" s="7" t="n">
        <f aca="false">COUNTIFS('Phi chức năng'!B:B,A65,'Phi chức năng'!L:L,"Pass")</f>
        <v>6</v>
      </c>
      <c r="G65" s="7" t="n">
        <f aca="false">COUNTIFS('Phi chức năng'!B:B,A65,'Phi chức năng'!L:L,"Fail")</f>
        <v>0</v>
      </c>
      <c r="H65" s="7" t="str">
        <f aca="false">IF(F65=D65,"Đã phủ",IF(G65&gt;0,"Có lỗi",IF(E65=0,"Chưa test","Đang test")))</f>
        <v>Đã phủ</v>
      </c>
    </row>
    <row r="66" customFormat="false" ht="15" hidden="false" customHeight="true" outlineLevel="0" collapsed="false">
      <c r="A66" s="7" t="s">
        <v>243</v>
      </c>
      <c r="B66" s="7" t="s">
        <v>172</v>
      </c>
      <c r="C66" s="7" t="s">
        <v>158</v>
      </c>
      <c r="D66" s="7" t="n">
        <v>3</v>
      </c>
      <c r="E66" s="7" t="n">
        <f aca="false">COUNTIFS('Phi chức năng'!B:B,A66,'Phi chức năng'!L:L,"&lt;&gt;Chưa chạy")</f>
        <v>3</v>
      </c>
      <c r="F66" s="7" t="n">
        <f aca="false">COUNTIFS('Phi chức năng'!B:B,A66,'Phi chức năng'!L:L,"Pass")</f>
        <v>3</v>
      </c>
      <c r="G66" s="7" t="n">
        <f aca="false">COUNTIFS('Phi chức năng'!B:B,A66,'Phi chức năng'!L:L,"Fail")</f>
        <v>0</v>
      </c>
      <c r="H66" s="7" t="str">
        <f aca="false">IF(F66=D66,"Đã phủ",IF(G66&gt;0,"Có lỗi",IF(E66=0,"Chưa test","Đang test")))</f>
        <v>Đã phủ</v>
      </c>
    </row>
    <row r="67" customFormat="false" ht="15" hidden="false" customHeight="true" outlineLevel="0" collapsed="false">
      <c r="A67" s="7" t="s">
        <v>244</v>
      </c>
      <c r="B67" s="7" t="s">
        <v>172</v>
      </c>
      <c r="C67" s="7" t="s">
        <v>157</v>
      </c>
      <c r="D67" s="7" t="n">
        <v>1</v>
      </c>
      <c r="E67" s="7" t="n">
        <f aca="false">COUNTIFS('Phi chức năng'!B:B,A67,'Phi chức năng'!L:L,"&lt;&gt;Chưa chạy")</f>
        <v>1</v>
      </c>
      <c r="F67" s="7" t="n">
        <f aca="false">COUNTIFS('Phi chức năng'!B:B,A67,'Phi chức năng'!L:L,"Pass")</f>
        <v>0</v>
      </c>
      <c r="G67" s="7" t="n">
        <f aca="false">COUNTIFS('Phi chức năng'!B:B,A67,'Phi chức năng'!L:L,"Fail")</f>
        <v>0</v>
      </c>
      <c r="H67" s="7" t="str">
        <f aca="false">IF(F67=D67,"Đã phủ",IF(G67&gt;0,"Có lỗi",IF(E67=0,"Chưa test","Đang test")))</f>
        <v>Đang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245</v>
      </c>
      <c r="B1" s="13" t="s">
        <v>175</v>
      </c>
      <c r="C1" s="13" t="s">
        <v>154</v>
      </c>
      <c r="D1" s="13" t="s">
        <v>246</v>
      </c>
      <c r="E1" s="13" t="s">
        <v>247</v>
      </c>
      <c r="F1" s="13" t="s">
        <v>248</v>
      </c>
      <c r="G1" s="13" t="s">
        <v>249</v>
      </c>
      <c r="H1" s="13" t="s">
        <v>250</v>
      </c>
      <c r="I1" s="13" t="s">
        <v>177</v>
      </c>
      <c r="J1" s="13" t="s">
        <v>251</v>
      </c>
      <c r="K1" s="13" t="s">
        <v>252</v>
      </c>
      <c r="L1" s="13" t="s">
        <v>253</v>
      </c>
      <c r="M1" s="13" t="s">
        <v>254</v>
      </c>
      <c r="N1" s="13" t="s">
        <v>255</v>
      </c>
      <c r="O1" s="13" t="s">
        <v>256</v>
      </c>
      <c r="P1" s="13" t="s">
        <v>27</v>
      </c>
    </row>
    <row r="2" customFormat="false" ht="54.75" hidden="false" customHeight="true" outlineLevel="0" collapsed="false">
      <c r="A2" s="5" t="s">
        <v>257</v>
      </c>
      <c r="B2" s="5" t="s">
        <v>179</v>
      </c>
      <c r="C2" s="5" t="s">
        <v>166</v>
      </c>
      <c r="D2" s="5" t="s">
        <v>258</v>
      </c>
      <c r="E2" s="5" t="s">
        <v>259</v>
      </c>
      <c r="F2" s="5" t="s">
        <v>260</v>
      </c>
      <c r="G2" s="5" t="s">
        <v>261</v>
      </c>
      <c r="H2" s="5" t="s">
        <v>262</v>
      </c>
      <c r="I2" s="5" t="s">
        <v>156</v>
      </c>
      <c r="J2" s="5" t="s">
        <v>263</v>
      </c>
      <c r="K2" s="5" t="s">
        <v>264</v>
      </c>
      <c r="L2" s="5" t="s">
        <v>32</v>
      </c>
      <c r="M2" s="5" t="s">
        <v>265</v>
      </c>
      <c r="N2" s="5" t="s">
        <v>28</v>
      </c>
      <c r="O2" s="5"/>
      <c r="P2" s="5"/>
    </row>
    <row r="3" customFormat="false" ht="54.75" hidden="false" customHeight="true" outlineLevel="0" collapsed="false">
      <c r="A3" s="5" t="s">
        <v>266</v>
      </c>
      <c r="B3" s="5" t="s">
        <v>179</v>
      </c>
      <c r="C3" s="5" t="s">
        <v>166</v>
      </c>
      <c r="D3" s="5" t="s">
        <v>267</v>
      </c>
      <c r="E3" s="5" t="s">
        <v>259</v>
      </c>
      <c r="F3" s="5" t="s">
        <v>268</v>
      </c>
      <c r="G3" s="5" t="s">
        <v>269</v>
      </c>
      <c r="H3" s="5" t="s">
        <v>270</v>
      </c>
      <c r="I3" s="5" t="s">
        <v>156</v>
      </c>
      <c r="J3" s="5" t="s">
        <v>263</v>
      </c>
      <c r="K3" s="5" t="s">
        <v>271</v>
      </c>
      <c r="L3" s="5" t="s">
        <v>32</v>
      </c>
      <c r="M3" s="5" t="s">
        <v>265</v>
      </c>
      <c r="N3" s="5" t="s">
        <v>28</v>
      </c>
      <c r="O3" s="5"/>
      <c r="P3" s="5"/>
    </row>
    <row r="4" customFormat="false" ht="41.25" hidden="false" customHeight="true" outlineLevel="0" collapsed="false">
      <c r="A4" s="5" t="s">
        <v>272</v>
      </c>
      <c r="B4" s="5" t="s">
        <v>179</v>
      </c>
      <c r="C4" s="5" t="s">
        <v>166</v>
      </c>
      <c r="D4" s="5" t="s">
        <v>273</v>
      </c>
      <c r="E4" s="5" t="s">
        <v>274</v>
      </c>
      <c r="F4" s="5" t="s">
        <v>275</v>
      </c>
      <c r="G4" s="5" t="s">
        <v>276</v>
      </c>
      <c r="H4" s="5" t="s">
        <v>277</v>
      </c>
      <c r="I4" s="5" t="s">
        <v>156</v>
      </c>
      <c r="J4" s="5" t="s">
        <v>278</v>
      </c>
      <c r="K4" s="5" t="s">
        <v>279</v>
      </c>
      <c r="L4" s="5" t="s">
        <v>32</v>
      </c>
      <c r="M4" s="5" t="s">
        <v>265</v>
      </c>
      <c r="N4" s="5" t="s">
        <v>28</v>
      </c>
      <c r="O4" s="5"/>
      <c r="P4" s="5"/>
    </row>
    <row r="5" customFormat="false" ht="41.25" hidden="false" customHeight="true" outlineLevel="0" collapsed="false">
      <c r="A5" s="5" t="s">
        <v>280</v>
      </c>
      <c r="B5" s="5" t="s">
        <v>179</v>
      </c>
      <c r="C5" s="5" t="s">
        <v>166</v>
      </c>
      <c r="D5" s="5" t="s">
        <v>281</v>
      </c>
      <c r="E5" s="5" t="s">
        <v>282</v>
      </c>
      <c r="F5" s="5" t="s">
        <v>283</v>
      </c>
      <c r="G5" s="5" t="s">
        <v>284</v>
      </c>
      <c r="H5" s="5" t="s">
        <v>285</v>
      </c>
      <c r="I5" s="5" t="s">
        <v>156</v>
      </c>
      <c r="J5" s="5" t="s">
        <v>286</v>
      </c>
      <c r="K5" s="5" t="s">
        <v>287</v>
      </c>
      <c r="L5" s="5" t="s">
        <v>32</v>
      </c>
      <c r="M5" s="5" t="s">
        <v>265</v>
      </c>
      <c r="N5" s="5" t="s">
        <v>28</v>
      </c>
      <c r="O5" s="5"/>
      <c r="P5" s="5"/>
    </row>
    <row r="6" customFormat="false" ht="41.25" hidden="false" customHeight="true" outlineLevel="0" collapsed="false">
      <c r="A6" s="5" t="s">
        <v>288</v>
      </c>
      <c r="B6" s="5" t="s">
        <v>179</v>
      </c>
      <c r="C6" s="5" t="s">
        <v>166</v>
      </c>
      <c r="D6" s="5" t="s">
        <v>289</v>
      </c>
      <c r="E6" s="5" t="s">
        <v>282</v>
      </c>
      <c r="F6" s="5" t="s">
        <v>290</v>
      </c>
      <c r="G6" s="5" t="s">
        <v>291</v>
      </c>
      <c r="H6" s="5" t="s">
        <v>292</v>
      </c>
      <c r="I6" s="5" t="s">
        <v>157</v>
      </c>
      <c r="J6" s="5" t="s">
        <v>286</v>
      </c>
      <c r="K6" s="5" t="s">
        <v>293</v>
      </c>
      <c r="L6" s="5" t="s">
        <v>32</v>
      </c>
      <c r="M6" s="5" t="s">
        <v>265</v>
      </c>
      <c r="N6" s="5" t="s">
        <v>96</v>
      </c>
      <c r="O6" s="5"/>
      <c r="P6" s="5"/>
    </row>
    <row r="7" customFormat="false" ht="27.75" hidden="false" customHeight="true" outlineLevel="0" collapsed="false">
      <c r="A7" s="5" t="s">
        <v>294</v>
      </c>
      <c r="B7" s="5" t="s">
        <v>179</v>
      </c>
      <c r="C7" s="5" t="s">
        <v>166</v>
      </c>
      <c r="D7" s="5" t="s">
        <v>295</v>
      </c>
      <c r="E7" s="5" t="s">
        <v>274</v>
      </c>
      <c r="F7" s="5" t="s">
        <v>296</v>
      </c>
      <c r="G7" s="5" t="s">
        <v>297</v>
      </c>
      <c r="H7" s="5" t="s">
        <v>298</v>
      </c>
      <c r="I7" s="5" t="s">
        <v>156</v>
      </c>
      <c r="J7" s="5" t="s">
        <v>286</v>
      </c>
      <c r="K7" s="5" t="s">
        <v>299</v>
      </c>
      <c r="L7" s="5" t="s">
        <v>32</v>
      </c>
      <c r="M7" s="5" t="s">
        <v>265</v>
      </c>
      <c r="N7" s="5" t="s">
        <v>28</v>
      </c>
      <c r="O7" s="5"/>
      <c r="P7" s="5"/>
    </row>
    <row r="8" customFormat="false" ht="27.75" hidden="false" customHeight="true" outlineLevel="0" collapsed="false">
      <c r="A8" s="5" t="s">
        <v>300</v>
      </c>
      <c r="B8" s="5" t="s">
        <v>179</v>
      </c>
      <c r="C8" s="5" t="s">
        <v>166</v>
      </c>
      <c r="D8" s="5" t="s">
        <v>301</v>
      </c>
      <c r="E8" s="5" t="s">
        <v>274</v>
      </c>
      <c r="F8" s="5" t="s">
        <v>302</v>
      </c>
      <c r="G8" s="5" t="s">
        <v>303</v>
      </c>
      <c r="H8" s="5" t="s">
        <v>304</v>
      </c>
      <c r="I8" s="5" t="s">
        <v>156</v>
      </c>
      <c r="J8" s="5" t="s">
        <v>286</v>
      </c>
      <c r="K8" s="5" t="s">
        <v>305</v>
      </c>
      <c r="L8" s="5" t="s">
        <v>32</v>
      </c>
      <c r="M8" s="5" t="s">
        <v>265</v>
      </c>
      <c r="N8" s="5" t="s">
        <v>28</v>
      </c>
      <c r="O8" s="5"/>
      <c r="P8" s="5"/>
    </row>
    <row r="9" customFormat="false" ht="27.75" hidden="false" customHeight="true" outlineLevel="0" collapsed="false">
      <c r="A9" s="5" t="s">
        <v>306</v>
      </c>
      <c r="B9" s="5" t="s">
        <v>179</v>
      </c>
      <c r="C9" s="5" t="s">
        <v>166</v>
      </c>
      <c r="D9" s="5" t="s">
        <v>307</v>
      </c>
      <c r="E9" s="5" t="s">
        <v>274</v>
      </c>
      <c r="F9" s="5" t="s">
        <v>308</v>
      </c>
      <c r="G9" s="5" t="s">
        <v>309</v>
      </c>
      <c r="H9" s="5" t="s">
        <v>310</v>
      </c>
      <c r="I9" s="5" t="s">
        <v>156</v>
      </c>
      <c r="J9" s="5" t="s">
        <v>311</v>
      </c>
      <c r="K9" s="5" t="s">
        <v>312</v>
      </c>
      <c r="L9" s="5" t="s">
        <v>32</v>
      </c>
      <c r="M9" s="5" t="s">
        <v>265</v>
      </c>
      <c r="N9" s="5" t="s">
        <v>28</v>
      </c>
      <c r="O9" s="5"/>
      <c r="P9" s="5"/>
    </row>
    <row r="10" customFormat="false" ht="27.75" hidden="false" customHeight="true" outlineLevel="0" collapsed="false">
      <c r="A10" s="5" t="s">
        <v>313</v>
      </c>
      <c r="B10" s="5" t="s">
        <v>179</v>
      </c>
      <c r="C10" s="5" t="s">
        <v>166</v>
      </c>
      <c r="D10" s="5" t="s">
        <v>314</v>
      </c>
      <c r="E10" s="5" t="s">
        <v>274</v>
      </c>
      <c r="F10" s="5" t="s">
        <v>315</v>
      </c>
      <c r="G10" s="5" t="s">
        <v>316</v>
      </c>
      <c r="H10" s="5" t="s">
        <v>317</v>
      </c>
      <c r="I10" s="5" t="s">
        <v>156</v>
      </c>
      <c r="J10" s="5" t="s">
        <v>311</v>
      </c>
      <c r="K10" s="5" t="s">
        <v>318</v>
      </c>
      <c r="L10" s="5" t="s">
        <v>32</v>
      </c>
      <c r="M10" s="5" t="s">
        <v>265</v>
      </c>
      <c r="N10" s="5" t="s">
        <v>28</v>
      </c>
      <c r="O10" s="5"/>
      <c r="P10" s="5"/>
    </row>
    <row r="11" customFormat="false" ht="27.75" hidden="false" customHeight="true" outlineLevel="0" collapsed="false">
      <c r="A11" s="5" t="s">
        <v>319</v>
      </c>
      <c r="B11" s="5" t="s">
        <v>179</v>
      </c>
      <c r="C11" s="5" t="s">
        <v>166</v>
      </c>
      <c r="D11" s="5" t="s">
        <v>320</v>
      </c>
      <c r="E11" s="5" t="s">
        <v>274</v>
      </c>
      <c r="F11" s="5" t="s">
        <v>321</v>
      </c>
      <c r="G11" s="5" t="s">
        <v>322</v>
      </c>
      <c r="H11" s="5" t="s">
        <v>323</v>
      </c>
      <c r="I11" s="5" t="s">
        <v>157</v>
      </c>
      <c r="J11" s="5" t="s">
        <v>311</v>
      </c>
      <c r="K11" s="5" t="s">
        <v>324</v>
      </c>
      <c r="L11" s="5" t="s">
        <v>32</v>
      </c>
      <c r="M11" s="5" t="s">
        <v>265</v>
      </c>
      <c r="N11" s="5" t="s">
        <v>96</v>
      </c>
      <c r="O11" s="5"/>
      <c r="P11" s="5"/>
    </row>
    <row r="12" customFormat="false" ht="27.75" hidden="false" customHeight="true" outlineLevel="0" collapsed="false">
      <c r="A12" s="5" t="s">
        <v>325</v>
      </c>
      <c r="B12" s="5" t="s">
        <v>179</v>
      </c>
      <c r="C12" s="5" t="s">
        <v>166</v>
      </c>
      <c r="D12" s="5" t="s">
        <v>326</v>
      </c>
      <c r="E12" s="5" t="s">
        <v>274</v>
      </c>
      <c r="F12" s="5" t="s">
        <v>327</v>
      </c>
      <c r="G12" s="5" t="s">
        <v>328</v>
      </c>
      <c r="H12" s="5" t="s">
        <v>329</v>
      </c>
      <c r="I12" s="5" t="s">
        <v>157</v>
      </c>
      <c r="J12" s="5" t="s">
        <v>311</v>
      </c>
      <c r="K12" s="5" t="s">
        <v>330</v>
      </c>
      <c r="L12" s="5" t="s">
        <v>32</v>
      </c>
      <c r="M12" s="5" t="s">
        <v>265</v>
      </c>
      <c r="N12" s="5" t="s">
        <v>96</v>
      </c>
      <c r="O12" s="5"/>
      <c r="P12" s="5"/>
    </row>
    <row r="13" customFormat="false" ht="27.75" hidden="false" customHeight="true" outlineLevel="0" collapsed="false">
      <c r="A13" s="5" t="s">
        <v>331</v>
      </c>
      <c r="B13" s="5" t="s">
        <v>179</v>
      </c>
      <c r="C13" s="5" t="s">
        <v>166</v>
      </c>
      <c r="D13" s="5" t="s">
        <v>332</v>
      </c>
      <c r="E13" s="5" t="s">
        <v>274</v>
      </c>
      <c r="F13" s="5" t="s">
        <v>333</v>
      </c>
      <c r="G13" s="5" t="s">
        <v>334</v>
      </c>
      <c r="H13" s="5" t="s">
        <v>335</v>
      </c>
      <c r="I13" s="5" t="s">
        <v>156</v>
      </c>
      <c r="J13" s="5" t="s">
        <v>286</v>
      </c>
      <c r="K13" s="5" t="s">
        <v>336</v>
      </c>
      <c r="L13" s="5" t="s">
        <v>32</v>
      </c>
      <c r="M13" s="5" t="s">
        <v>265</v>
      </c>
      <c r="N13" s="5" t="s">
        <v>28</v>
      </c>
      <c r="O13" s="5"/>
      <c r="P13" s="5"/>
    </row>
    <row r="14" customFormat="false" ht="27.75" hidden="false" customHeight="true" outlineLevel="0" collapsed="false">
      <c r="A14" s="5" t="s">
        <v>337</v>
      </c>
      <c r="B14" s="5" t="s">
        <v>179</v>
      </c>
      <c r="C14" s="5" t="s">
        <v>166</v>
      </c>
      <c r="D14" s="5" t="s">
        <v>338</v>
      </c>
      <c r="E14" s="5" t="s">
        <v>274</v>
      </c>
      <c r="F14" s="5" t="s">
        <v>339</v>
      </c>
      <c r="G14" s="5" t="s">
        <v>340</v>
      </c>
      <c r="H14" s="5" t="s">
        <v>341</v>
      </c>
      <c r="I14" s="5" t="s">
        <v>157</v>
      </c>
      <c r="J14" s="5" t="s">
        <v>342</v>
      </c>
      <c r="K14" s="5" t="s">
        <v>343</v>
      </c>
      <c r="L14" s="5" t="s">
        <v>32</v>
      </c>
      <c r="M14" s="5" t="s">
        <v>265</v>
      </c>
      <c r="N14" s="5" t="s">
        <v>96</v>
      </c>
      <c r="O14" s="5"/>
      <c r="P14" s="5"/>
    </row>
    <row r="15" customFormat="false" ht="41.25" hidden="false" customHeight="true" outlineLevel="0" collapsed="false">
      <c r="A15" s="5" t="s">
        <v>344</v>
      </c>
      <c r="B15" s="5" t="s">
        <v>180</v>
      </c>
      <c r="C15" s="5" t="s">
        <v>166</v>
      </c>
      <c r="D15" s="5" t="s">
        <v>345</v>
      </c>
      <c r="E15" s="5" t="s">
        <v>346</v>
      </c>
      <c r="F15" s="5" t="s">
        <v>347</v>
      </c>
      <c r="G15" s="5" t="s">
        <v>348</v>
      </c>
      <c r="H15" s="5" t="s">
        <v>349</v>
      </c>
      <c r="I15" s="5" t="s">
        <v>156</v>
      </c>
      <c r="J15" s="5" t="s">
        <v>263</v>
      </c>
      <c r="K15" s="5" t="s">
        <v>350</v>
      </c>
      <c r="L15" s="5" t="s">
        <v>32</v>
      </c>
      <c r="M15" s="5" t="s">
        <v>265</v>
      </c>
      <c r="N15" s="5" t="s">
        <v>28</v>
      </c>
      <c r="O15" s="5"/>
      <c r="P15" s="5"/>
    </row>
    <row r="16" customFormat="false" ht="41.25" hidden="false" customHeight="true" outlineLevel="0" collapsed="false">
      <c r="A16" s="5" t="s">
        <v>351</v>
      </c>
      <c r="B16" s="5" t="s">
        <v>180</v>
      </c>
      <c r="C16" s="5" t="s">
        <v>166</v>
      </c>
      <c r="D16" s="5" t="s">
        <v>352</v>
      </c>
      <c r="E16" s="5" t="s">
        <v>353</v>
      </c>
      <c r="F16" s="5" t="s">
        <v>354</v>
      </c>
      <c r="G16" s="5" t="s">
        <v>355</v>
      </c>
      <c r="H16" s="5" t="s">
        <v>356</v>
      </c>
      <c r="I16" s="5" t="s">
        <v>156</v>
      </c>
      <c r="J16" s="5" t="s">
        <v>263</v>
      </c>
      <c r="K16" s="5" t="s">
        <v>357</v>
      </c>
      <c r="L16" s="5" t="s">
        <v>32</v>
      </c>
      <c r="M16" s="5" t="s">
        <v>265</v>
      </c>
      <c r="N16" s="5" t="s">
        <v>28</v>
      </c>
      <c r="O16" s="5" t="s">
        <v>358</v>
      </c>
      <c r="P16" s="5"/>
    </row>
    <row r="17" customFormat="false" ht="27.75" hidden="false" customHeight="true" outlineLevel="0" collapsed="false">
      <c r="A17" s="5" t="s">
        <v>359</v>
      </c>
      <c r="B17" s="5" t="s">
        <v>180</v>
      </c>
      <c r="C17" s="5" t="s">
        <v>166</v>
      </c>
      <c r="D17" s="5" t="s">
        <v>360</v>
      </c>
      <c r="E17" s="5" t="s">
        <v>361</v>
      </c>
      <c r="F17" s="5" t="s">
        <v>362</v>
      </c>
      <c r="G17" s="5" t="s">
        <v>363</v>
      </c>
      <c r="H17" s="5" t="s">
        <v>364</v>
      </c>
      <c r="I17" s="5" t="s">
        <v>156</v>
      </c>
      <c r="J17" s="5" t="s">
        <v>286</v>
      </c>
      <c r="K17" s="5" t="s">
        <v>365</v>
      </c>
      <c r="L17" s="5" t="s">
        <v>32</v>
      </c>
      <c r="M17" s="5" t="s">
        <v>265</v>
      </c>
      <c r="N17" s="5" t="s">
        <v>28</v>
      </c>
      <c r="O17" s="5"/>
      <c r="P17" s="5"/>
    </row>
    <row r="18" customFormat="false" ht="27.75" hidden="false" customHeight="true" outlineLevel="0" collapsed="false">
      <c r="A18" s="5" t="s">
        <v>366</v>
      </c>
      <c r="B18" s="5" t="s">
        <v>180</v>
      </c>
      <c r="C18" s="5" t="s">
        <v>166</v>
      </c>
      <c r="D18" s="5" t="s">
        <v>367</v>
      </c>
      <c r="E18" s="5" t="s">
        <v>368</v>
      </c>
      <c r="F18" s="5" t="s">
        <v>369</v>
      </c>
      <c r="G18" s="5" t="s">
        <v>370</v>
      </c>
      <c r="H18" s="5" t="s">
        <v>371</v>
      </c>
      <c r="I18" s="5" t="s">
        <v>156</v>
      </c>
      <c r="J18" s="5" t="s">
        <v>342</v>
      </c>
      <c r="K18" s="5" t="s">
        <v>372</v>
      </c>
      <c r="L18" s="5" t="s">
        <v>32</v>
      </c>
      <c r="M18" s="5" t="s">
        <v>265</v>
      </c>
      <c r="N18" s="5" t="s">
        <v>28</v>
      </c>
      <c r="O18" s="5"/>
      <c r="P18" s="5"/>
    </row>
    <row r="19" customFormat="false" ht="27.75" hidden="false" customHeight="true" outlineLevel="0" collapsed="false">
      <c r="A19" s="5" t="s">
        <v>373</v>
      </c>
      <c r="B19" s="5" t="s">
        <v>180</v>
      </c>
      <c r="C19" s="5" t="s">
        <v>166</v>
      </c>
      <c r="D19" s="5" t="s">
        <v>374</v>
      </c>
      <c r="E19" s="5" t="s">
        <v>375</v>
      </c>
      <c r="F19" s="5" t="s">
        <v>368</v>
      </c>
      <c r="G19" s="5" t="s">
        <v>376</v>
      </c>
      <c r="H19" s="5" t="s">
        <v>377</v>
      </c>
      <c r="I19" s="5" t="s">
        <v>156</v>
      </c>
      <c r="J19" s="5" t="s">
        <v>263</v>
      </c>
      <c r="K19" s="5" t="s">
        <v>378</v>
      </c>
      <c r="L19" s="5" t="s">
        <v>32</v>
      </c>
      <c r="M19" s="5" t="s">
        <v>265</v>
      </c>
      <c r="N19" s="5" t="s">
        <v>28</v>
      </c>
      <c r="O19" s="5"/>
      <c r="P19" s="5"/>
    </row>
    <row r="20" customFormat="false" ht="27.75" hidden="false" customHeight="true" outlineLevel="0" collapsed="false">
      <c r="A20" s="5" t="s">
        <v>379</v>
      </c>
      <c r="B20" s="5" t="s">
        <v>180</v>
      </c>
      <c r="C20" s="5" t="s">
        <v>166</v>
      </c>
      <c r="D20" s="5" t="s">
        <v>380</v>
      </c>
      <c r="E20" s="5" t="s">
        <v>375</v>
      </c>
      <c r="F20" s="5" t="s">
        <v>368</v>
      </c>
      <c r="G20" s="5" t="s">
        <v>381</v>
      </c>
      <c r="H20" s="5" t="s">
        <v>382</v>
      </c>
      <c r="I20" s="5" t="s">
        <v>156</v>
      </c>
      <c r="J20" s="5" t="s">
        <v>263</v>
      </c>
      <c r="K20" s="5" t="s">
        <v>383</v>
      </c>
      <c r="L20" s="5" t="s">
        <v>32</v>
      </c>
      <c r="M20" s="5" t="s">
        <v>265</v>
      </c>
      <c r="N20" s="5" t="s">
        <v>28</v>
      </c>
      <c r="O20" s="5"/>
      <c r="P20" s="5"/>
    </row>
    <row r="21" customFormat="false" ht="27.75" hidden="false" customHeight="true" outlineLevel="0" collapsed="false">
      <c r="A21" s="5" t="s">
        <v>384</v>
      </c>
      <c r="B21" s="5" t="s">
        <v>180</v>
      </c>
      <c r="C21" s="5" t="s">
        <v>166</v>
      </c>
      <c r="D21" s="5" t="s">
        <v>385</v>
      </c>
      <c r="E21" s="5" t="s">
        <v>375</v>
      </c>
      <c r="F21" s="5" t="s">
        <v>368</v>
      </c>
      <c r="G21" s="5" t="s">
        <v>386</v>
      </c>
      <c r="H21" s="5" t="s">
        <v>387</v>
      </c>
      <c r="I21" s="5" t="s">
        <v>156</v>
      </c>
      <c r="J21" s="5" t="s">
        <v>342</v>
      </c>
      <c r="K21" s="5" t="s">
        <v>388</v>
      </c>
      <c r="L21" s="5" t="s">
        <v>32</v>
      </c>
      <c r="M21" s="5" t="s">
        <v>265</v>
      </c>
      <c r="N21" s="5" t="s">
        <v>28</v>
      </c>
      <c r="O21" s="5"/>
      <c r="P21" s="5"/>
    </row>
    <row r="22" customFormat="false" ht="41.25" hidden="false" customHeight="true" outlineLevel="0" collapsed="false">
      <c r="A22" s="5" t="s">
        <v>389</v>
      </c>
      <c r="B22" s="5" t="s">
        <v>180</v>
      </c>
      <c r="C22" s="5" t="s">
        <v>166</v>
      </c>
      <c r="D22" s="5" t="s">
        <v>390</v>
      </c>
      <c r="E22" s="5" t="s">
        <v>375</v>
      </c>
      <c r="F22" s="5" t="s">
        <v>368</v>
      </c>
      <c r="G22" s="5" t="s">
        <v>391</v>
      </c>
      <c r="H22" s="5" t="s">
        <v>392</v>
      </c>
      <c r="I22" s="5" t="s">
        <v>156</v>
      </c>
      <c r="J22" s="5" t="s">
        <v>263</v>
      </c>
      <c r="K22" s="5" t="s">
        <v>393</v>
      </c>
      <c r="L22" s="5" t="s">
        <v>32</v>
      </c>
      <c r="M22" s="5" t="s">
        <v>265</v>
      </c>
      <c r="N22" s="5" t="s">
        <v>28</v>
      </c>
      <c r="O22" s="5"/>
      <c r="P22" s="5"/>
    </row>
    <row r="23" customFormat="false" ht="27.75" hidden="false" customHeight="true" outlineLevel="0" collapsed="false">
      <c r="A23" s="5" t="s">
        <v>394</v>
      </c>
      <c r="B23" s="5" t="s">
        <v>180</v>
      </c>
      <c r="C23" s="5" t="s">
        <v>166</v>
      </c>
      <c r="D23" s="5" t="s">
        <v>395</v>
      </c>
      <c r="E23" s="5" t="s">
        <v>274</v>
      </c>
      <c r="F23" s="5" t="s">
        <v>368</v>
      </c>
      <c r="G23" s="5" t="s">
        <v>396</v>
      </c>
      <c r="H23" s="5" t="s">
        <v>397</v>
      </c>
      <c r="I23" s="5" t="s">
        <v>157</v>
      </c>
      <c r="J23" s="5" t="s">
        <v>263</v>
      </c>
      <c r="K23" s="5" t="s">
        <v>398</v>
      </c>
      <c r="L23" s="5" t="s">
        <v>32</v>
      </c>
      <c r="M23" s="5" t="s">
        <v>265</v>
      </c>
      <c r="N23" s="5" t="s">
        <v>96</v>
      </c>
      <c r="O23" s="5"/>
      <c r="P23" s="5"/>
    </row>
    <row r="24" customFormat="false" ht="15" hidden="false" customHeight="true" outlineLevel="0" collapsed="false">
      <c r="A24" s="5" t="s">
        <v>399</v>
      </c>
      <c r="B24" s="5" t="s">
        <v>180</v>
      </c>
      <c r="C24" s="5" t="s">
        <v>166</v>
      </c>
      <c r="D24" s="5" t="s">
        <v>400</v>
      </c>
      <c r="E24" s="5" t="s">
        <v>368</v>
      </c>
      <c r="F24" s="5" t="s">
        <v>401</v>
      </c>
      <c r="G24" s="5" t="s">
        <v>402</v>
      </c>
      <c r="H24" s="5" t="s">
        <v>403</v>
      </c>
      <c r="I24" s="5" t="s">
        <v>157</v>
      </c>
      <c r="J24" s="5" t="s">
        <v>342</v>
      </c>
      <c r="K24" s="5" t="s">
        <v>404</v>
      </c>
      <c r="L24" s="5" t="s">
        <v>32</v>
      </c>
      <c r="M24" s="5" t="s">
        <v>265</v>
      </c>
      <c r="N24" s="5" t="s">
        <v>96</v>
      </c>
      <c r="O24" s="5"/>
      <c r="P24" s="5"/>
    </row>
    <row r="25" customFormat="false" ht="27.75" hidden="false" customHeight="true" outlineLevel="0" collapsed="false">
      <c r="A25" s="5" t="s">
        <v>405</v>
      </c>
      <c r="B25" s="5" t="s">
        <v>180</v>
      </c>
      <c r="C25" s="5" t="s">
        <v>166</v>
      </c>
      <c r="D25" s="5" t="s">
        <v>406</v>
      </c>
      <c r="E25" s="5" t="s">
        <v>375</v>
      </c>
      <c r="F25" s="5" t="s">
        <v>368</v>
      </c>
      <c r="G25" s="5" t="s">
        <v>407</v>
      </c>
      <c r="H25" s="5" t="s">
        <v>408</v>
      </c>
      <c r="I25" s="5" t="s">
        <v>156</v>
      </c>
      <c r="J25" s="5" t="s">
        <v>278</v>
      </c>
      <c r="K25" s="5" t="s">
        <v>409</v>
      </c>
      <c r="L25" s="5" t="s">
        <v>32</v>
      </c>
      <c r="M25" s="5" t="s">
        <v>265</v>
      </c>
      <c r="N25" s="5" t="s">
        <v>28</v>
      </c>
      <c r="O25" s="5"/>
      <c r="P25" s="5"/>
    </row>
    <row r="26" customFormat="false" ht="15" hidden="false" customHeight="true" outlineLevel="0" collapsed="false">
      <c r="A26" s="5" t="s">
        <v>410</v>
      </c>
      <c r="B26" s="5" t="s">
        <v>181</v>
      </c>
      <c r="C26" s="5" t="s">
        <v>166</v>
      </c>
      <c r="D26" s="5" t="s">
        <v>411</v>
      </c>
      <c r="E26" s="5" t="s">
        <v>412</v>
      </c>
      <c r="F26" s="5" t="s">
        <v>413</v>
      </c>
      <c r="G26" s="5" t="s">
        <v>414</v>
      </c>
      <c r="H26" s="5" t="s">
        <v>415</v>
      </c>
      <c r="I26" s="5" t="s">
        <v>156</v>
      </c>
      <c r="J26" s="5" t="s">
        <v>263</v>
      </c>
      <c r="K26" s="5" t="s">
        <v>416</v>
      </c>
      <c r="L26" s="5" t="s">
        <v>32</v>
      </c>
      <c r="M26" s="5" t="s">
        <v>265</v>
      </c>
      <c r="N26" s="5" t="s">
        <v>28</v>
      </c>
      <c r="O26" s="5"/>
      <c r="P26" s="5"/>
    </row>
    <row r="27" customFormat="false" ht="27.75" hidden="false" customHeight="true" outlineLevel="0" collapsed="false">
      <c r="A27" s="5" t="s">
        <v>417</v>
      </c>
      <c r="B27" s="5" t="s">
        <v>181</v>
      </c>
      <c r="C27" s="5" t="s">
        <v>166</v>
      </c>
      <c r="D27" s="5" t="s">
        <v>418</v>
      </c>
      <c r="E27" s="5" t="s">
        <v>419</v>
      </c>
      <c r="F27" s="5" t="s">
        <v>420</v>
      </c>
      <c r="G27" s="5" t="s">
        <v>421</v>
      </c>
      <c r="H27" s="5" t="s">
        <v>422</v>
      </c>
      <c r="I27" s="5" t="s">
        <v>156</v>
      </c>
      <c r="J27" s="5" t="s">
        <v>286</v>
      </c>
      <c r="K27" s="5" t="s">
        <v>423</v>
      </c>
      <c r="L27" s="5" t="s">
        <v>32</v>
      </c>
      <c r="M27" s="5" t="s">
        <v>265</v>
      </c>
      <c r="N27" s="5" t="s">
        <v>28</v>
      </c>
      <c r="O27" s="5"/>
      <c r="P27" s="5"/>
    </row>
    <row r="28" customFormat="false" ht="27.75" hidden="false" customHeight="true" outlineLevel="0" collapsed="false">
      <c r="A28" s="5" t="s">
        <v>424</v>
      </c>
      <c r="B28" s="5" t="s">
        <v>181</v>
      </c>
      <c r="C28" s="5" t="s">
        <v>166</v>
      </c>
      <c r="D28" s="5" t="s">
        <v>425</v>
      </c>
      <c r="E28" s="5" t="s">
        <v>426</v>
      </c>
      <c r="F28" s="5" t="s">
        <v>368</v>
      </c>
      <c r="G28" s="5" t="s">
        <v>427</v>
      </c>
      <c r="H28" s="5" t="s">
        <v>428</v>
      </c>
      <c r="I28" s="5" t="s">
        <v>157</v>
      </c>
      <c r="J28" s="5" t="s">
        <v>311</v>
      </c>
      <c r="K28" s="5" t="s">
        <v>429</v>
      </c>
      <c r="L28" s="5" t="s">
        <v>32</v>
      </c>
      <c r="M28" s="5" t="s">
        <v>265</v>
      </c>
      <c r="N28" s="5" t="s">
        <v>96</v>
      </c>
      <c r="O28" s="5" t="s">
        <v>430</v>
      </c>
      <c r="P28" s="5"/>
    </row>
    <row r="29" customFormat="false" ht="27.75" hidden="false" customHeight="true" outlineLevel="0" collapsed="false">
      <c r="A29" s="5" t="s">
        <v>431</v>
      </c>
      <c r="B29" s="5" t="s">
        <v>181</v>
      </c>
      <c r="C29" s="5" t="s">
        <v>166</v>
      </c>
      <c r="D29" s="5" t="s">
        <v>432</v>
      </c>
      <c r="E29" s="5" t="s">
        <v>433</v>
      </c>
      <c r="F29" s="5" t="s">
        <v>368</v>
      </c>
      <c r="G29" s="5" t="s">
        <v>434</v>
      </c>
      <c r="H29" s="5" t="s">
        <v>435</v>
      </c>
      <c r="I29" s="5" t="s">
        <v>157</v>
      </c>
      <c r="J29" s="5" t="s">
        <v>263</v>
      </c>
      <c r="K29" s="5" t="s">
        <v>436</v>
      </c>
      <c r="L29" s="5" t="s">
        <v>32</v>
      </c>
      <c r="M29" s="5" t="s">
        <v>265</v>
      </c>
      <c r="N29" s="5" t="s">
        <v>96</v>
      </c>
      <c r="O29" s="5"/>
      <c r="P29" s="5"/>
    </row>
    <row r="30" customFormat="false" ht="15" hidden="false" customHeight="true" outlineLevel="0" collapsed="false">
      <c r="A30" s="5" t="s">
        <v>437</v>
      </c>
      <c r="B30" s="5" t="s">
        <v>181</v>
      </c>
      <c r="C30" s="5" t="s">
        <v>166</v>
      </c>
      <c r="D30" s="5" t="s">
        <v>438</v>
      </c>
      <c r="E30" s="5" t="s">
        <v>439</v>
      </c>
      <c r="F30" s="5" t="s">
        <v>368</v>
      </c>
      <c r="G30" s="5" t="s">
        <v>440</v>
      </c>
      <c r="H30" s="5" t="s">
        <v>441</v>
      </c>
      <c r="I30" s="5" t="s">
        <v>158</v>
      </c>
      <c r="J30" s="5" t="s">
        <v>342</v>
      </c>
      <c r="K30" s="5" t="s">
        <v>442</v>
      </c>
      <c r="L30" s="5" t="s">
        <v>32</v>
      </c>
      <c r="M30" s="5" t="s">
        <v>265</v>
      </c>
      <c r="N30" s="5" t="s">
        <v>96</v>
      </c>
      <c r="O30" s="5"/>
      <c r="P30" s="5"/>
    </row>
    <row r="31" customFormat="false" ht="41.25" hidden="false" customHeight="true" outlineLevel="0" collapsed="false">
      <c r="A31" s="5" t="s">
        <v>443</v>
      </c>
      <c r="B31" s="5" t="s">
        <v>182</v>
      </c>
      <c r="C31" s="5" t="s">
        <v>166</v>
      </c>
      <c r="D31" s="5" t="s">
        <v>444</v>
      </c>
      <c r="E31" s="5" t="s">
        <v>445</v>
      </c>
      <c r="F31" s="5" t="s">
        <v>446</v>
      </c>
      <c r="G31" s="5" t="s">
        <v>447</v>
      </c>
      <c r="H31" s="5" t="s">
        <v>448</v>
      </c>
      <c r="I31" s="5" t="s">
        <v>156</v>
      </c>
      <c r="J31" s="5" t="s">
        <v>263</v>
      </c>
      <c r="K31" s="5" t="s">
        <v>449</v>
      </c>
      <c r="L31" s="5" t="s">
        <v>32</v>
      </c>
      <c r="M31" s="5" t="s">
        <v>265</v>
      </c>
      <c r="N31" s="5" t="s">
        <v>28</v>
      </c>
      <c r="O31" s="5"/>
      <c r="P31" s="5"/>
    </row>
    <row r="32" customFormat="false" ht="41.25" hidden="false" customHeight="true" outlineLevel="0" collapsed="false">
      <c r="A32" s="5" t="s">
        <v>450</v>
      </c>
      <c r="B32" s="5" t="s">
        <v>182</v>
      </c>
      <c r="C32" s="5" t="s">
        <v>166</v>
      </c>
      <c r="D32" s="5" t="s">
        <v>451</v>
      </c>
      <c r="E32" s="5" t="s">
        <v>368</v>
      </c>
      <c r="F32" s="5" t="s">
        <v>452</v>
      </c>
      <c r="G32" s="5" t="s">
        <v>447</v>
      </c>
      <c r="H32" s="5" t="s">
        <v>453</v>
      </c>
      <c r="I32" s="5" t="s">
        <v>156</v>
      </c>
      <c r="J32" s="5" t="s">
        <v>342</v>
      </c>
      <c r="K32" s="5" t="s">
        <v>454</v>
      </c>
      <c r="L32" s="5" t="s">
        <v>32</v>
      </c>
      <c r="M32" s="5" t="s">
        <v>265</v>
      </c>
      <c r="N32" s="5" t="s">
        <v>28</v>
      </c>
      <c r="O32" s="5"/>
      <c r="P32" s="5"/>
    </row>
    <row r="33" customFormat="false" ht="54.75" hidden="false" customHeight="true" outlineLevel="0" collapsed="false">
      <c r="A33" s="5" t="s">
        <v>455</v>
      </c>
      <c r="B33" s="5" t="s">
        <v>182</v>
      </c>
      <c r="C33" s="5" t="s">
        <v>166</v>
      </c>
      <c r="D33" s="5" t="s">
        <v>456</v>
      </c>
      <c r="E33" s="5" t="s">
        <v>457</v>
      </c>
      <c r="F33" s="5" t="s">
        <v>458</v>
      </c>
      <c r="G33" s="5" t="s">
        <v>459</v>
      </c>
      <c r="H33" s="5" t="s">
        <v>460</v>
      </c>
      <c r="I33" s="5" t="s">
        <v>156</v>
      </c>
      <c r="J33" s="5" t="s">
        <v>263</v>
      </c>
      <c r="K33" s="5" t="s">
        <v>461</v>
      </c>
      <c r="L33" s="5" t="s">
        <v>32</v>
      </c>
      <c r="M33" s="5" t="s">
        <v>265</v>
      </c>
      <c r="N33" s="5" t="s">
        <v>28</v>
      </c>
      <c r="O33" s="5"/>
      <c r="P33" s="5"/>
    </row>
    <row r="34" customFormat="false" ht="15" hidden="false" customHeight="true" outlineLevel="0" collapsed="false">
      <c r="A34" s="5" t="s">
        <v>462</v>
      </c>
      <c r="B34" s="5" t="s">
        <v>182</v>
      </c>
      <c r="C34" s="5" t="s">
        <v>166</v>
      </c>
      <c r="D34" s="5" t="s">
        <v>463</v>
      </c>
      <c r="E34" s="5" t="s">
        <v>464</v>
      </c>
      <c r="F34" s="5" t="s">
        <v>368</v>
      </c>
      <c r="G34" s="5" t="s">
        <v>465</v>
      </c>
      <c r="H34" s="5" t="s">
        <v>466</v>
      </c>
      <c r="I34" s="5" t="s">
        <v>156</v>
      </c>
      <c r="J34" s="5" t="s">
        <v>286</v>
      </c>
      <c r="K34" s="5" t="s">
        <v>467</v>
      </c>
      <c r="L34" s="5" t="s">
        <v>32</v>
      </c>
      <c r="M34" s="5" t="s">
        <v>265</v>
      </c>
      <c r="N34" s="5" t="s">
        <v>28</v>
      </c>
      <c r="O34" s="5"/>
      <c r="P34" s="5"/>
    </row>
    <row r="35" customFormat="false" ht="15" hidden="false" customHeight="true" outlineLevel="0" collapsed="false">
      <c r="A35" s="5" t="s">
        <v>132</v>
      </c>
      <c r="B35" s="5" t="s">
        <v>182</v>
      </c>
      <c r="C35" s="5" t="s">
        <v>166</v>
      </c>
      <c r="D35" s="5" t="s">
        <v>468</v>
      </c>
      <c r="E35" s="5" t="s">
        <v>469</v>
      </c>
      <c r="F35" s="5" t="s">
        <v>368</v>
      </c>
      <c r="G35" s="5" t="s">
        <v>470</v>
      </c>
      <c r="H35" s="5" t="s">
        <v>471</v>
      </c>
      <c r="I35" s="5" t="s">
        <v>157</v>
      </c>
      <c r="J35" s="5" t="s">
        <v>311</v>
      </c>
      <c r="K35" s="5" t="s">
        <v>472</v>
      </c>
      <c r="L35" s="5" t="s">
        <v>32</v>
      </c>
      <c r="M35" s="5" t="s">
        <v>265</v>
      </c>
      <c r="N35" s="5" t="s">
        <v>96</v>
      </c>
      <c r="O35" s="5"/>
      <c r="P35" s="5"/>
    </row>
    <row r="36" customFormat="false" ht="15" hidden="false" customHeight="true" outlineLevel="0" collapsed="false">
      <c r="A36" s="5" t="s">
        <v>473</v>
      </c>
      <c r="B36" s="5" t="s">
        <v>182</v>
      </c>
      <c r="C36" s="5" t="s">
        <v>166</v>
      </c>
      <c r="D36" s="5" t="s">
        <v>474</v>
      </c>
      <c r="E36" s="5" t="s">
        <v>368</v>
      </c>
      <c r="F36" s="5" t="s">
        <v>446</v>
      </c>
      <c r="G36" s="5" t="s">
        <v>475</v>
      </c>
      <c r="H36" s="5" t="s">
        <v>441</v>
      </c>
      <c r="I36" s="5" t="s">
        <v>157</v>
      </c>
      <c r="J36" s="5" t="s">
        <v>342</v>
      </c>
      <c r="K36" s="5" t="s">
        <v>476</v>
      </c>
      <c r="L36" s="5" t="s">
        <v>32</v>
      </c>
      <c r="M36" s="5" t="s">
        <v>265</v>
      </c>
      <c r="N36" s="5" t="s">
        <v>96</v>
      </c>
      <c r="O36" s="5"/>
      <c r="P36" s="5"/>
    </row>
    <row r="37" customFormat="false" ht="41.25" hidden="false" customHeight="true" outlineLevel="0" collapsed="false">
      <c r="A37" s="5" t="s">
        <v>477</v>
      </c>
      <c r="B37" s="5" t="s">
        <v>183</v>
      </c>
      <c r="C37" s="5" t="s">
        <v>166</v>
      </c>
      <c r="D37" s="5" t="s">
        <v>478</v>
      </c>
      <c r="E37" s="5" t="s">
        <v>479</v>
      </c>
      <c r="F37" s="5" t="s">
        <v>480</v>
      </c>
      <c r="G37" s="5" t="s">
        <v>481</v>
      </c>
      <c r="H37" s="5" t="s">
        <v>482</v>
      </c>
      <c r="I37" s="5" t="s">
        <v>156</v>
      </c>
      <c r="J37" s="5" t="s">
        <v>263</v>
      </c>
      <c r="K37" s="5" t="s">
        <v>483</v>
      </c>
      <c r="L37" s="5" t="s">
        <v>32</v>
      </c>
      <c r="M37" s="5" t="s">
        <v>265</v>
      </c>
      <c r="N37" s="5" t="s">
        <v>28</v>
      </c>
      <c r="O37" s="5"/>
      <c r="P37" s="5"/>
    </row>
    <row r="38" customFormat="false" ht="27.75" hidden="false" customHeight="true" outlineLevel="0" collapsed="false">
      <c r="A38" s="5" t="s">
        <v>484</v>
      </c>
      <c r="B38" s="5" t="s">
        <v>183</v>
      </c>
      <c r="C38" s="5" t="s">
        <v>166</v>
      </c>
      <c r="D38" s="5" t="s">
        <v>485</v>
      </c>
      <c r="E38" s="5" t="s">
        <v>479</v>
      </c>
      <c r="F38" s="5" t="s">
        <v>486</v>
      </c>
      <c r="G38" s="5" t="s">
        <v>487</v>
      </c>
      <c r="H38" s="5" t="s">
        <v>488</v>
      </c>
      <c r="I38" s="5" t="s">
        <v>156</v>
      </c>
      <c r="J38" s="5" t="s">
        <v>286</v>
      </c>
      <c r="K38" s="5" t="s">
        <v>489</v>
      </c>
      <c r="L38" s="5" t="s">
        <v>32</v>
      </c>
      <c r="M38" s="5" t="s">
        <v>265</v>
      </c>
      <c r="N38" s="5" t="s">
        <v>28</v>
      </c>
      <c r="O38" s="5"/>
      <c r="P38" s="5"/>
    </row>
    <row r="39" customFormat="false" ht="27.75" hidden="false" customHeight="true" outlineLevel="0" collapsed="false">
      <c r="A39" s="5" t="s">
        <v>490</v>
      </c>
      <c r="B39" s="5" t="s">
        <v>183</v>
      </c>
      <c r="C39" s="5" t="s">
        <v>166</v>
      </c>
      <c r="D39" s="5" t="s">
        <v>491</v>
      </c>
      <c r="E39" s="5" t="s">
        <v>479</v>
      </c>
      <c r="F39" s="5" t="s">
        <v>492</v>
      </c>
      <c r="G39" s="5" t="s">
        <v>493</v>
      </c>
      <c r="H39" s="5" t="s">
        <v>494</v>
      </c>
      <c r="I39" s="5" t="s">
        <v>157</v>
      </c>
      <c r="J39" s="5" t="s">
        <v>286</v>
      </c>
      <c r="K39" s="5" t="s">
        <v>495</v>
      </c>
      <c r="L39" s="5" t="s">
        <v>32</v>
      </c>
      <c r="M39" s="5" t="s">
        <v>265</v>
      </c>
      <c r="N39" s="5" t="s">
        <v>28</v>
      </c>
      <c r="O39" s="5"/>
      <c r="P39" s="5"/>
    </row>
    <row r="40" customFormat="false" ht="27.75" hidden="false" customHeight="true" outlineLevel="0" collapsed="false">
      <c r="A40" s="5" t="s">
        <v>496</v>
      </c>
      <c r="B40" s="5" t="s">
        <v>183</v>
      </c>
      <c r="C40" s="5" t="s">
        <v>166</v>
      </c>
      <c r="D40" s="5" t="s">
        <v>497</v>
      </c>
      <c r="E40" s="5" t="s">
        <v>498</v>
      </c>
      <c r="F40" s="5" t="s">
        <v>368</v>
      </c>
      <c r="G40" s="5" t="s">
        <v>499</v>
      </c>
      <c r="H40" s="5" t="s">
        <v>500</v>
      </c>
      <c r="I40" s="5" t="s">
        <v>156</v>
      </c>
      <c r="J40" s="5" t="s">
        <v>342</v>
      </c>
      <c r="K40" s="5" t="s">
        <v>501</v>
      </c>
      <c r="L40" s="5" t="s">
        <v>32</v>
      </c>
      <c r="M40" s="5" t="s">
        <v>265</v>
      </c>
      <c r="N40" s="5" t="s">
        <v>28</v>
      </c>
      <c r="O40" s="5"/>
      <c r="P40" s="5"/>
    </row>
    <row r="41" customFormat="false" ht="27.75" hidden="false" customHeight="true" outlineLevel="0" collapsed="false">
      <c r="A41" s="5" t="s">
        <v>502</v>
      </c>
      <c r="B41" s="5" t="s">
        <v>183</v>
      </c>
      <c r="C41" s="5" t="s">
        <v>166</v>
      </c>
      <c r="D41" s="5" t="s">
        <v>503</v>
      </c>
      <c r="E41" s="5" t="s">
        <v>504</v>
      </c>
      <c r="F41" s="5" t="s">
        <v>368</v>
      </c>
      <c r="G41" s="5" t="s">
        <v>505</v>
      </c>
      <c r="H41" s="5" t="s">
        <v>506</v>
      </c>
      <c r="I41" s="5" t="s">
        <v>157</v>
      </c>
      <c r="J41" s="5" t="s">
        <v>342</v>
      </c>
      <c r="K41" s="5" t="s">
        <v>507</v>
      </c>
      <c r="L41" s="5" t="s">
        <v>32</v>
      </c>
      <c r="M41" s="5" t="s">
        <v>265</v>
      </c>
      <c r="N41" s="5" t="s">
        <v>28</v>
      </c>
      <c r="O41" s="5"/>
      <c r="P41" s="5"/>
    </row>
    <row r="42" customFormat="false" ht="27.75" hidden="false" customHeight="true" outlineLevel="0" collapsed="false">
      <c r="A42" s="5" t="s">
        <v>508</v>
      </c>
      <c r="B42" s="5" t="s">
        <v>184</v>
      </c>
      <c r="C42" s="5" t="s">
        <v>166</v>
      </c>
      <c r="D42" s="5" t="s">
        <v>509</v>
      </c>
      <c r="E42" s="5" t="s">
        <v>510</v>
      </c>
      <c r="F42" s="5" t="s">
        <v>511</v>
      </c>
      <c r="G42" s="5" t="s">
        <v>512</v>
      </c>
      <c r="H42" s="5" t="s">
        <v>513</v>
      </c>
      <c r="I42" s="5" t="s">
        <v>157</v>
      </c>
      <c r="J42" s="5" t="s">
        <v>342</v>
      </c>
      <c r="K42" s="5" t="s">
        <v>514</v>
      </c>
      <c r="L42" s="5" t="s">
        <v>32</v>
      </c>
      <c r="M42" s="5" t="s">
        <v>265</v>
      </c>
      <c r="N42" s="5" t="s">
        <v>28</v>
      </c>
      <c r="O42" s="5"/>
      <c r="P42" s="5"/>
    </row>
    <row r="43" customFormat="false" ht="27.75" hidden="false" customHeight="true" outlineLevel="0" collapsed="false">
      <c r="A43" s="5" t="s">
        <v>515</v>
      </c>
      <c r="B43" s="5" t="s">
        <v>185</v>
      </c>
      <c r="C43" s="5" t="s">
        <v>166</v>
      </c>
      <c r="D43" s="5" t="s">
        <v>516</v>
      </c>
      <c r="E43" s="5" t="s">
        <v>517</v>
      </c>
      <c r="F43" s="5" t="s">
        <v>518</v>
      </c>
      <c r="G43" s="5" t="s">
        <v>519</v>
      </c>
      <c r="H43" s="5" t="s">
        <v>520</v>
      </c>
      <c r="I43" s="5" t="s">
        <v>156</v>
      </c>
      <c r="J43" s="5" t="s">
        <v>342</v>
      </c>
      <c r="K43" s="5" t="s">
        <v>521</v>
      </c>
      <c r="L43" s="5" t="s">
        <v>32</v>
      </c>
      <c r="M43" s="5" t="s">
        <v>265</v>
      </c>
      <c r="N43" s="5" t="s">
        <v>28</v>
      </c>
      <c r="O43" s="5" t="s">
        <v>522</v>
      </c>
      <c r="P43" s="5"/>
    </row>
    <row r="44" customFormat="false" ht="27.75" hidden="false" customHeight="true" outlineLevel="0" collapsed="false">
      <c r="A44" s="5" t="s">
        <v>523</v>
      </c>
      <c r="B44" s="5" t="s">
        <v>185</v>
      </c>
      <c r="C44" s="5" t="s">
        <v>166</v>
      </c>
      <c r="D44" s="5" t="s">
        <v>524</v>
      </c>
      <c r="E44" s="5" t="s">
        <v>525</v>
      </c>
      <c r="F44" s="5" t="s">
        <v>526</v>
      </c>
      <c r="G44" s="5" t="s">
        <v>527</v>
      </c>
      <c r="H44" s="5" t="s">
        <v>528</v>
      </c>
      <c r="I44" s="5" t="s">
        <v>156</v>
      </c>
      <c r="J44" s="5" t="s">
        <v>263</v>
      </c>
      <c r="K44" s="5" t="s">
        <v>529</v>
      </c>
      <c r="L44" s="5" t="s">
        <v>32</v>
      </c>
      <c r="M44" s="5" t="s">
        <v>265</v>
      </c>
      <c r="N44" s="5" t="s">
        <v>28</v>
      </c>
      <c r="O44" s="5"/>
      <c r="P44" s="5"/>
    </row>
    <row r="45" customFormat="false" ht="27.75" hidden="false" customHeight="true" outlineLevel="0" collapsed="false">
      <c r="A45" s="5" t="s">
        <v>530</v>
      </c>
      <c r="B45" s="5" t="s">
        <v>185</v>
      </c>
      <c r="C45" s="5" t="s">
        <v>166</v>
      </c>
      <c r="D45" s="5" t="s">
        <v>531</v>
      </c>
      <c r="E45" s="5" t="s">
        <v>525</v>
      </c>
      <c r="F45" s="5" t="s">
        <v>368</v>
      </c>
      <c r="G45" s="5" t="s">
        <v>532</v>
      </c>
      <c r="H45" s="5" t="s">
        <v>533</v>
      </c>
      <c r="I45" s="5" t="s">
        <v>157</v>
      </c>
      <c r="J45" s="5" t="s">
        <v>263</v>
      </c>
      <c r="K45" s="5" t="s">
        <v>534</v>
      </c>
      <c r="L45" s="5" t="s">
        <v>32</v>
      </c>
      <c r="M45" s="5" t="s">
        <v>265</v>
      </c>
      <c r="N45" s="5" t="s">
        <v>28</v>
      </c>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245</v>
      </c>
      <c r="B1" s="13" t="s">
        <v>175</v>
      </c>
      <c r="C1" s="13" t="s">
        <v>154</v>
      </c>
      <c r="D1" s="13" t="s">
        <v>246</v>
      </c>
      <c r="E1" s="13" t="s">
        <v>247</v>
      </c>
      <c r="F1" s="13" t="s">
        <v>248</v>
      </c>
      <c r="G1" s="13" t="s">
        <v>249</v>
      </c>
      <c r="H1" s="13" t="s">
        <v>250</v>
      </c>
      <c r="I1" s="13" t="s">
        <v>177</v>
      </c>
      <c r="J1" s="13" t="s">
        <v>251</v>
      </c>
      <c r="K1" s="13" t="s">
        <v>252</v>
      </c>
      <c r="L1" s="13" t="s">
        <v>253</v>
      </c>
      <c r="M1" s="13" t="s">
        <v>254</v>
      </c>
      <c r="N1" s="13" t="s">
        <v>255</v>
      </c>
      <c r="O1" s="13" t="s">
        <v>256</v>
      </c>
      <c r="P1" s="13" t="s">
        <v>27</v>
      </c>
    </row>
    <row r="2" customFormat="false" ht="54.75" hidden="false" customHeight="true" outlineLevel="0" collapsed="false">
      <c r="A2" s="5" t="s">
        <v>535</v>
      </c>
      <c r="B2" s="5" t="s">
        <v>186</v>
      </c>
      <c r="C2" s="5" t="s">
        <v>167</v>
      </c>
      <c r="D2" s="5" t="s">
        <v>536</v>
      </c>
      <c r="E2" s="5" t="s">
        <v>479</v>
      </c>
      <c r="F2" s="5" t="s">
        <v>537</v>
      </c>
      <c r="G2" s="5" t="s">
        <v>538</v>
      </c>
      <c r="H2" s="5" t="s">
        <v>539</v>
      </c>
      <c r="I2" s="5" t="s">
        <v>156</v>
      </c>
      <c r="J2" s="5" t="s">
        <v>263</v>
      </c>
      <c r="K2" s="5" t="s">
        <v>540</v>
      </c>
      <c r="L2" s="5" t="s">
        <v>32</v>
      </c>
      <c r="M2" s="5" t="s">
        <v>265</v>
      </c>
      <c r="N2" s="5" t="s">
        <v>28</v>
      </c>
      <c r="O2" s="5" t="s">
        <v>541</v>
      </c>
      <c r="P2" s="5"/>
    </row>
    <row r="3" customFormat="false" ht="27.75" hidden="false" customHeight="true" outlineLevel="0" collapsed="false">
      <c r="A3" s="5" t="s">
        <v>542</v>
      </c>
      <c r="B3" s="5" t="s">
        <v>186</v>
      </c>
      <c r="C3" s="5" t="s">
        <v>167</v>
      </c>
      <c r="D3" s="5" t="s">
        <v>543</v>
      </c>
      <c r="E3" s="5" t="s">
        <v>479</v>
      </c>
      <c r="F3" s="5" t="s">
        <v>544</v>
      </c>
      <c r="G3" s="5" t="s">
        <v>545</v>
      </c>
      <c r="H3" s="5" t="s">
        <v>546</v>
      </c>
      <c r="I3" s="5" t="s">
        <v>156</v>
      </c>
      <c r="J3" s="5" t="s">
        <v>286</v>
      </c>
      <c r="K3" s="5" t="s">
        <v>547</v>
      </c>
      <c r="L3" s="5" t="s">
        <v>32</v>
      </c>
      <c r="M3" s="5" t="s">
        <v>265</v>
      </c>
      <c r="N3" s="5" t="s">
        <v>28</v>
      </c>
      <c r="O3" s="5"/>
      <c r="P3" s="5"/>
    </row>
    <row r="4" customFormat="false" ht="27.75" hidden="false" customHeight="true" outlineLevel="0" collapsed="false">
      <c r="A4" s="5" t="s">
        <v>548</v>
      </c>
      <c r="B4" s="5" t="s">
        <v>186</v>
      </c>
      <c r="C4" s="5" t="s">
        <v>167</v>
      </c>
      <c r="D4" s="5" t="s">
        <v>549</v>
      </c>
      <c r="E4" s="5" t="s">
        <v>479</v>
      </c>
      <c r="F4" s="5" t="s">
        <v>550</v>
      </c>
      <c r="G4" s="5" t="s">
        <v>551</v>
      </c>
      <c r="H4" s="5" t="s">
        <v>552</v>
      </c>
      <c r="I4" s="5" t="s">
        <v>157</v>
      </c>
      <c r="J4" s="5" t="s">
        <v>286</v>
      </c>
      <c r="K4" s="5" t="s">
        <v>553</v>
      </c>
      <c r="L4" s="5" t="s">
        <v>32</v>
      </c>
      <c r="M4" s="5" t="s">
        <v>265</v>
      </c>
      <c r="N4" s="5" t="s">
        <v>28</v>
      </c>
      <c r="O4" s="5"/>
      <c r="P4" s="5"/>
    </row>
    <row r="5" customFormat="false" ht="27.75" hidden="false" customHeight="true" outlineLevel="0" collapsed="false">
      <c r="A5" s="5" t="s">
        <v>554</v>
      </c>
      <c r="B5" s="5" t="s">
        <v>186</v>
      </c>
      <c r="C5" s="5" t="s">
        <v>167</v>
      </c>
      <c r="D5" s="5" t="s">
        <v>555</v>
      </c>
      <c r="E5" s="5" t="s">
        <v>479</v>
      </c>
      <c r="F5" s="5" t="s">
        <v>556</v>
      </c>
      <c r="G5" s="5" t="s">
        <v>557</v>
      </c>
      <c r="H5" s="5" t="s">
        <v>558</v>
      </c>
      <c r="I5" s="5" t="s">
        <v>158</v>
      </c>
      <c r="J5" s="5" t="s">
        <v>311</v>
      </c>
      <c r="K5" s="5" t="s">
        <v>559</v>
      </c>
      <c r="L5" s="5" t="s">
        <v>32</v>
      </c>
      <c r="M5" s="5" t="s">
        <v>265</v>
      </c>
      <c r="N5" s="5" t="s">
        <v>96</v>
      </c>
      <c r="O5" s="5"/>
      <c r="P5" s="5"/>
    </row>
    <row r="6" customFormat="false" ht="27.75" hidden="false" customHeight="true" outlineLevel="0" collapsed="false">
      <c r="A6" s="5" t="s">
        <v>560</v>
      </c>
      <c r="B6" s="5" t="s">
        <v>186</v>
      </c>
      <c r="C6" s="5" t="s">
        <v>167</v>
      </c>
      <c r="D6" s="5" t="s">
        <v>561</v>
      </c>
      <c r="E6" s="5" t="s">
        <v>479</v>
      </c>
      <c r="F6" s="5" t="s">
        <v>562</v>
      </c>
      <c r="G6" s="5" t="s">
        <v>563</v>
      </c>
      <c r="H6" s="5" t="s">
        <v>564</v>
      </c>
      <c r="I6" s="5" t="s">
        <v>157</v>
      </c>
      <c r="J6" s="5" t="s">
        <v>286</v>
      </c>
      <c r="K6" s="5" t="s">
        <v>565</v>
      </c>
      <c r="L6" s="5" t="s">
        <v>32</v>
      </c>
      <c r="M6" s="5" t="s">
        <v>265</v>
      </c>
      <c r="N6" s="5" t="s">
        <v>28</v>
      </c>
      <c r="O6" s="5" t="s">
        <v>566</v>
      </c>
      <c r="P6" s="5"/>
    </row>
    <row r="7" customFormat="false" ht="27.75" hidden="false" customHeight="true" outlineLevel="0" collapsed="false">
      <c r="A7" s="5" t="s">
        <v>567</v>
      </c>
      <c r="B7" s="5" t="s">
        <v>186</v>
      </c>
      <c r="C7" s="5" t="s">
        <v>167</v>
      </c>
      <c r="D7" s="5" t="s">
        <v>568</v>
      </c>
      <c r="E7" s="5" t="s">
        <v>479</v>
      </c>
      <c r="F7" s="5" t="s">
        <v>569</v>
      </c>
      <c r="G7" s="5" t="s">
        <v>570</v>
      </c>
      <c r="H7" s="5" t="s">
        <v>571</v>
      </c>
      <c r="I7" s="5" t="s">
        <v>157</v>
      </c>
      <c r="J7" s="5" t="s">
        <v>263</v>
      </c>
      <c r="K7" s="5" t="s">
        <v>572</v>
      </c>
      <c r="L7" s="5" t="s">
        <v>32</v>
      </c>
      <c r="M7" s="5" t="s">
        <v>265</v>
      </c>
      <c r="N7" s="5" t="s">
        <v>28</v>
      </c>
      <c r="O7" s="5"/>
      <c r="P7" s="5"/>
    </row>
    <row r="8" customFormat="false" ht="15" hidden="false" customHeight="true" outlineLevel="0" collapsed="false">
      <c r="A8" s="5" t="s">
        <v>573</v>
      </c>
      <c r="B8" s="5" t="s">
        <v>186</v>
      </c>
      <c r="C8" s="5" t="s">
        <v>167</v>
      </c>
      <c r="D8" s="5" t="s">
        <v>574</v>
      </c>
      <c r="E8" s="5" t="s">
        <v>479</v>
      </c>
      <c r="F8" s="5" t="s">
        <v>575</v>
      </c>
      <c r="G8" s="5" t="s">
        <v>576</v>
      </c>
      <c r="H8" s="5" t="s">
        <v>577</v>
      </c>
      <c r="I8" s="5" t="s">
        <v>157</v>
      </c>
      <c r="J8" s="5" t="s">
        <v>311</v>
      </c>
      <c r="K8" s="5" t="s">
        <v>578</v>
      </c>
      <c r="L8" s="5" t="s">
        <v>32</v>
      </c>
      <c r="M8" s="5" t="s">
        <v>265</v>
      </c>
      <c r="N8" s="5" t="s">
        <v>28</v>
      </c>
      <c r="O8" s="5"/>
      <c r="P8" s="5"/>
    </row>
    <row r="9" customFormat="false" ht="15" hidden="false" customHeight="true" outlineLevel="0" collapsed="false">
      <c r="A9" s="5" t="s">
        <v>579</v>
      </c>
      <c r="B9" s="5" t="s">
        <v>186</v>
      </c>
      <c r="C9" s="5" t="s">
        <v>167</v>
      </c>
      <c r="D9" s="5" t="s">
        <v>580</v>
      </c>
      <c r="E9" s="5" t="s">
        <v>479</v>
      </c>
      <c r="F9" s="5" t="s">
        <v>581</v>
      </c>
      <c r="G9" s="5" t="s">
        <v>582</v>
      </c>
      <c r="H9" s="5" t="s">
        <v>583</v>
      </c>
      <c r="I9" s="5" t="s">
        <v>157</v>
      </c>
      <c r="J9" s="5" t="s">
        <v>286</v>
      </c>
      <c r="K9" s="5" t="s">
        <v>584</v>
      </c>
      <c r="L9" s="5" t="s">
        <v>32</v>
      </c>
      <c r="M9" s="5" t="s">
        <v>265</v>
      </c>
      <c r="N9" s="5" t="s">
        <v>28</v>
      </c>
      <c r="O9" s="5"/>
      <c r="P9" s="5"/>
    </row>
    <row r="10" customFormat="false" ht="54.75" hidden="false" customHeight="true" outlineLevel="0" collapsed="false">
      <c r="A10" s="5" t="s">
        <v>585</v>
      </c>
      <c r="B10" s="5" t="s">
        <v>187</v>
      </c>
      <c r="C10" s="5" t="s">
        <v>167</v>
      </c>
      <c r="D10" s="5" t="s">
        <v>586</v>
      </c>
      <c r="E10" s="5" t="s">
        <v>479</v>
      </c>
      <c r="F10" s="5" t="s">
        <v>587</v>
      </c>
      <c r="G10" s="5" t="s">
        <v>588</v>
      </c>
      <c r="H10" s="5" t="s">
        <v>589</v>
      </c>
      <c r="I10" s="5" t="s">
        <v>156</v>
      </c>
      <c r="J10" s="5" t="s">
        <v>263</v>
      </c>
      <c r="K10" s="5" t="s">
        <v>590</v>
      </c>
      <c r="L10" s="5" t="s">
        <v>32</v>
      </c>
      <c r="M10" s="5" t="s">
        <v>265</v>
      </c>
      <c r="N10" s="5" t="s">
        <v>28</v>
      </c>
      <c r="O10" s="5"/>
      <c r="P10" s="5"/>
    </row>
    <row r="11" customFormat="false" ht="27.75" hidden="false" customHeight="true" outlineLevel="0" collapsed="false">
      <c r="A11" s="5" t="s">
        <v>591</v>
      </c>
      <c r="B11" s="5" t="s">
        <v>187</v>
      </c>
      <c r="C11" s="5" t="s">
        <v>167</v>
      </c>
      <c r="D11" s="5" t="s">
        <v>592</v>
      </c>
      <c r="E11" s="5" t="s">
        <v>479</v>
      </c>
      <c r="F11" s="5" t="s">
        <v>593</v>
      </c>
      <c r="G11" s="5" t="s">
        <v>594</v>
      </c>
      <c r="H11" s="5" t="s">
        <v>595</v>
      </c>
      <c r="I11" s="5" t="s">
        <v>156</v>
      </c>
      <c r="J11" s="5" t="s">
        <v>286</v>
      </c>
      <c r="K11" s="5" t="s">
        <v>596</v>
      </c>
      <c r="L11" s="5" t="s">
        <v>32</v>
      </c>
      <c r="M11" s="5" t="s">
        <v>265</v>
      </c>
      <c r="N11" s="5" t="s">
        <v>28</v>
      </c>
      <c r="O11" s="5"/>
      <c r="P11" s="5"/>
    </row>
    <row r="12" customFormat="false" ht="27.75" hidden="false" customHeight="true" outlineLevel="0" collapsed="false">
      <c r="A12" s="5" t="s">
        <v>597</v>
      </c>
      <c r="B12" s="5" t="s">
        <v>187</v>
      </c>
      <c r="C12" s="5" t="s">
        <v>167</v>
      </c>
      <c r="D12" s="5" t="s">
        <v>598</v>
      </c>
      <c r="E12" s="5" t="s">
        <v>599</v>
      </c>
      <c r="F12" s="5" t="s">
        <v>368</v>
      </c>
      <c r="G12" s="5" t="s">
        <v>600</v>
      </c>
      <c r="H12" s="5" t="s">
        <v>601</v>
      </c>
      <c r="I12" s="5" t="s">
        <v>157</v>
      </c>
      <c r="J12" s="5" t="s">
        <v>263</v>
      </c>
      <c r="K12" s="5" t="s">
        <v>602</v>
      </c>
      <c r="L12" s="5" t="s">
        <v>32</v>
      </c>
      <c r="M12" s="5" t="s">
        <v>265</v>
      </c>
      <c r="N12" s="5" t="s">
        <v>28</v>
      </c>
      <c r="O12" s="5"/>
      <c r="P12" s="5"/>
    </row>
    <row r="13" customFormat="false" ht="41.25" hidden="false" customHeight="true" outlineLevel="0" collapsed="false">
      <c r="A13" s="5" t="s">
        <v>603</v>
      </c>
      <c r="B13" s="5" t="s">
        <v>187</v>
      </c>
      <c r="C13" s="5" t="s">
        <v>167</v>
      </c>
      <c r="D13" s="5" t="s">
        <v>604</v>
      </c>
      <c r="E13" s="5" t="s">
        <v>479</v>
      </c>
      <c r="F13" s="5" t="s">
        <v>605</v>
      </c>
      <c r="G13" s="5" t="s">
        <v>606</v>
      </c>
      <c r="H13" s="5" t="s">
        <v>607</v>
      </c>
      <c r="I13" s="5" t="s">
        <v>156</v>
      </c>
      <c r="J13" s="5" t="s">
        <v>263</v>
      </c>
      <c r="K13" s="5" t="s">
        <v>608</v>
      </c>
      <c r="L13" s="5" t="s">
        <v>32</v>
      </c>
      <c r="M13" s="5" t="s">
        <v>265</v>
      </c>
      <c r="N13" s="5" t="s">
        <v>28</v>
      </c>
      <c r="O13" s="5"/>
      <c r="P13" s="5"/>
    </row>
    <row r="14" customFormat="false" ht="41.25" hidden="false" customHeight="true" outlineLevel="0" collapsed="false">
      <c r="A14" s="5" t="s">
        <v>609</v>
      </c>
      <c r="B14" s="5" t="s">
        <v>187</v>
      </c>
      <c r="C14" s="5" t="s">
        <v>167</v>
      </c>
      <c r="D14" s="5" t="s">
        <v>610</v>
      </c>
      <c r="E14" s="5" t="s">
        <v>479</v>
      </c>
      <c r="F14" s="5" t="s">
        <v>611</v>
      </c>
      <c r="G14" s="5" t="s">
        <v>612</v>
      </c>
      <c r="H14" s="5" t="s">
        <v>613</v>
      </c>
      <c r="I14" s="5" t="s">
        <v>156</v>
      </c>
      <c r="J14" s="5" t="s">
        <v>263</v>
      </c>
      <c r="K14" s="5" t="s">
        <v>614</v>
      </c>
      <c r="L14" s="5" t="s">
        <v>32</v>
      </c>
      <c r="M14" s="5" t="s">
        <v>265</v>
      </c>
      <c r="N14" s="5" t="s">
        <v>28</v>
      </c>
      <c r="O14" s="5"/>
      <c r="P14" s="5"/>
    </row>
    <row r="15" customFormat="false" ht="27.75" hidden="false" customHeight="true" outlineLevel="0" collapsed="false">
      <c r="A15" s="5" t="s">
        <v>615</v>
      </c>
      <c r="B15" s="5" t="s">
        <v>187</v>
      </c>
      <c r="C15" s="5" t="s">
        <v>167</v>
      </c>
      <c r="D15" s="5" t="s">
        <v>616</v>
      </c>
      <c r="E15" s="5" t="s">
        <v>479</v>
      </c>
      <c r="F15" s="5" t="s">
        <v>617</v>
      </c>
      <c r="G15" s="5" t="s">
        <v>618</v>
      </c>
      <c r="H15" s="5" t="s">
        <v>619</v>
      </c>
      <c r="I15" s="5" t="s">
        <v>157</v>
      </c>
      <c r="J15" s="5" t="s">
        <v>311</v>
      </c>
      <c r="K15" s="5" t="s">
        <v>620</v>
      </c>
      <c r="L15" s="5" t="s">
        <v>32</v>
      </c>
      <c r="M15" s="5" t="s">
        <v>265</v>
      </c>
      <c r="N15" s="5" t="s">
        <v>28</v>
      </c>
      <c r="O15" s="5"/>
      <c r="P15" s="5"/>
    </row>
    <row r="16" customFormat="false" ht="41.25" hidden="false" customHeight="true" outlineLevel="0" collapsed="false">
      <c r="A16" s="5" t="s">
        <v>621</v>
      </c>
      <c r="B16" s="5" t="s">
        <v>188</v>
      </c>
      <c r="C16" s="5" t="s">
        <v>167</v>
      </c>
      <c r="D16" s="5" t="s">
        <v>622</v>
      </c>
      <c r="E16" s="5" t="s">
        <v>623</v>
      </c>
      <c r="F16" s="5" t="s">
        <v>624</v>
      </c>
      <c r="G16" s="5" t="s">
        <v>625</v>
      </c>
      <c r="H16" s="5" t="s">
        <v>626</v>
      </c>
      <c r="I16" s="5" t="s">
        <v>156</v>
      </c>
      <c r="J16" s="5" t="s">
        <v>263</v>
      </c>
      <c r="K16" s="5" t="s">
        <v>627</v>
      </c>
      <c r="L16" s="5" t="s">
        <v>32</v>
      </c>
      <c r="M16" s="5" t="s">
        <v>265</v>
      </c>
      <c r="N16" s="5" t="s">
        <v>28</v>
      </c>
      <c r="O16" s="5"/>
      <c r="P16" s="5"/>
    </row>
    <row r="17" customFormat="false" ht="15" hidden="false" customHeight="true" outlineLevel="0" collapsed="false">
      <c r="A17" s="5" t="s">
        <v>628</v>
      </c>
      <c r="B17" s="5" t="s">
        <v>188</v>
      </c>
      <c r="C17" s="5" t="s">
        <v>167</v>
      </c>
      <c r="D17" s="5" t="s">
        <v>629</v>
      </c>
      <c r="E17" s="5" t="s">
        <v>479</v>
      </c>
      <c r="F17" s="5" t="s">
        <v>630</v>
      </c>
      <c r="G17" s="5" t="s">
        <v>631</v>
      </c>
      <c r="H17" s="5" t="s">
        <v>632</v>
      </c>
      <c r="I17" s="5" t="s">
        <v>156</v>
      </c>
      <c r="J17" s="5" t="s">
        <v>263</v>
      </c>
      <c r="K17" s="5" t="s">
        <v>633</v>
      </c>
      <c r="L17" s="5" t="s">
        <v>32</v>
      </c>
      <c r="M17" s="5" t="s">
        <v>265</v>
      </c>
      <c r="N17" s="5" t="s">
        <v>28</v>
      </c>
      <c r="O17" s="5"/>
      <c r="P17" s="5"/>
    </row>
    <row r="18" customFormat="false" ht="15" hidden="false" customHeight="true" outlineLevel="0" collapsed="false">
      <c r="A18" s="5" t="s">
        <v>634</v>
      </c>
      <c r="B18" s="5" t="s">
        <v>188</v>
      </c>
      <c r="C18" s="5" t="s">
        <v>167</v>
      </c>
      <c r="D18" s="5" t="s">
        <v>635</v>
      </c>
      <c r="E18" s="5" t="s">
        <v>479</v>
      </c>
      <c r="F18" s="5" t="s">
        <v>636</v>
      </c>
      <c r="G18" s="5" t="s">
        <v>637</v>
      </c>
      <c r="H18" s="5" t="s">
        <v>638</v>
      </c>
      <c r="I18" s="5" t="s">
        <v>156</v>
      </c>
      <c r="J18" s="5" t="s">
        <v>286</v>
      </c>
      <c r="K18" s="5" t="s">
        <v>639</v>
      </c>
      <c r="L18" s="5" t="s">
        <v>32</v>
      </c>
      <c r="M18" s="5" t="s">
        <v>265</v>
      </c>
      <c r="N18" s="5" t="s">
        <v>28</v>
      </c>
      <c r="O18" s="5"/>
      <c r="P18" s="5"/>
    </row>
    <row r="19" customFormat="false" ht="15" hidden="false" customHeight="true" outlineLevel="0" collapsed="false">
      <c r="A19" s="5" t="s">
        <v>640</v>
      </c>
      <c r="B19" s="5" t="s">
        <v>188</v>
      </c>
      <c r="C19" s="5" t="s">
        <v>167</v>
      </c>
      <c r="D19" s="5" t="s">
        <v>641</v>
      </c>
      <c r="E19" s="5" t="s">
        <v>479</v>
      </c>
      <c r="F19" s="5" t="s">
        <v>642</v>
      </c>
      <c r="G19" s="5" t="s">
        <v>643</v>
      </c>
      <c r="H19" s="5" t="s">
        <v>644</v>
      </c>
      <c r="I19" s="5" t="s">
        <v>156</v>
      </c>
      <c r="J19" s="5" t="s">
        <v>342</v>
      </c>
      <c r="K19" s="5" t="s">
        <v>645</v>
      </c>
      <c r="L19" s="5" t="s">
        <v>32</v>
      </c>
      <c r="M19" s="5" t="s">
        <v>265</v>
      </c>
      <c r="N19" s="5" t="s">
        <v>28</v>
      </c>
      <c r="O19" s="5"/>
      <c r="P19" s="5"/>
    </row>
    <row r="20" customFormat="false" ht="27.75" hidden="false" customHeight="true" outlineLevel="0" collapsed="false">
      <c r="A20" s="5" t="s">
        <v>646</v>
      </c>
      <c r="B20" s="5" t="s">
        <v>188</v>
      </c>
      <c r="C20" s="5" t="s">
        <v>167</v>
      </c>
      <c r="D20" s="5" t="s">
        <v>647</v>
      </c>
      <c r="E20" s="5" t="s">
        <v>648</v>
      </c>
      <c r="F20" s="5" t="s">
        <v>649</v>
      </c>
      <c r="G20" s="5" t="s">
        <v>650</v>
      </c>
      <c r="H20" s="5" t="s">
        <v>651</v>
      </c>
      <c r="I20" s="5" t="s">
        <v>156</v>
      </c>
      <c r="J20" s="5" t="s">
        <v>311</v>
      </c>
      <c r="K20" s="5" t="s">
        <v>652</v>
      </c>
      <c r="L20" s="5" t="s">
        <v>32</v>
      </c>
      <c r="M20" s="5" t="s">
        <v>265</v>
      </c>
      <c r="N20" s="5" t="s">
        <v>28</v>
      </c>
      <c r="O20" s="5"/>
      <c r="P20" s="5"/>
    </row>
    <row r="21" customFormat="false" ht="15" hidden="false" customHeight="true" outlineLevel="0" collapsed="false">
      <c r="A21" s="5" t="s">
        <v>653</v>
      </c>
      <c r="B21" s="5" t="s">
        <v>188</v>
      </c>
      <c r="C21" s="5" t="s">
        <v>167</v>
      </c>
      <c r="D21" s="5" t="s">
        <v>654</v>
      </c>
      <c r="E21" s="5" t="s">
        <v>655</v>
      </c>
      <c r="F21" s="5" t="s">
        <v>656</v>
      </c>
      <c r="G21" s="5" t="s">
        <v>657</v>
      </c>
      <c r="H21" s="5" t="s">
        <v>658</v>
      </c>
      <c r="I21" s="5" t="s">
        <v>156</v>
      </c>
      <c r="J21" s="5" t="s">
        <v>311</v>
      </c>
      <c r="K21" s="5" t="s">
        <v>659</v>
      </c>
      <c r="L21" s="5" t="s">
        <v>32</v>
      </c>
      <c r="M21" s="5" t="s">
        <v>265</v>
      </c>
      <c r="N21" s="5" t="s">
        <v>28</v>
      </c>
      <c r="O21" s="5"/>
      <c r="P21" s="5"/>
    </row>
    <row r="22" customFormat="false" ht="27.75" hidden="false" customHeight="true" outlineLevel="0" collapsed="false">
      <c r="A22" s="5" t="s">
        <v>660</v>
      </c>
      <c r="B22" s="5" t="s">
        <v>188</v>
      </c>
      <c r="C22" s="5" t="s">
        <v>167</v>
      </c>
      <c r="D22" s="5" t="s">
        <v>661</v>
      </c>
      <c r="E22" s="5" t="s">
        <v>662</v>
      </c>
      <c r="F22" s="5" t="s">
        <v>368</v>
      </c>
      <c r="G22" s="5" t="s">
        <v>663</v>
      </c>
      <c r="H22" s="5" t="s">
        <v>664</v>
      </c>
      <c r="I22" s="5" t="s">
        <v>157</v>
      </c>
      <c r="J22" s="5" t="s">
        <v>263</v>
      </c>
      <c r="K22" s="5" t="s">
        <v>665</v>
      </c>
      <c r="L22" s="5" t="s">
        <v>32</v>
      </c>
      <c r="M22" s="5" t="s">
        <v>265</v>
      </c>
      <c r="N22" s="5" t="s">
        <v>28</v>
      </c>
      <c r="O22" s="5"/>
      <c r="P22" s="5"/>
    </row>
    <row r="23" customFormat="false" ht="27.75" hidden="false" customHeight="true" outlineLevel="0" collapsed="false">
      <c r="A23" s="5" t="s">
        <v>666</v>
      </c>
      <c r="B23" s="5" t="s">
        <v>188</v>
      </c>
      <c r="C23" s="5" t="s">
        <v>167</v>
      </c>
      <c r="D23" s="5" t="s">
        <v>667</v>
      </c>
      <c r="E23" s="5" t="s">
        <v>668</v>
      </c>
      <c r="F23" s="5" t="s">
        <v>368</v>
      </c>
      <c r="G23" s="5" t="s">
        <v>669</v>
      </c>
      <c r="H23" s="5" t="s">
        <v>670</v>
      </c>
      <c r="I23" s="5" t="s">
        <v>156</v>
      </c>
      <c r="J23" s="5" t="s">
        <v>263</v>
      </c>
      <c r="K23" s="5" t="s">
        <v>671</v>
      </c>
      <c r="L23" s="5" t="s">
        <v>32</v>
      </c>
      <c r="M23" s="5" t="s">
        <v>265</v>
      </c>
      <c r="N23" s="5" t="s">
        <v>28</v>
      </c>
      <c r="O23" s="5"/>
      <c r="P23" s="5"/>
    </row>
    <row r="24" customFormat="false" ht="15" hidden="false" customHeight="true" outlineLevel="0" collapsed="false">
      <c r="A24" s="5" t="s">
        <v>672</v>
      </c>
      <c r="B24" s="5" t="s">
        <v>188</v>
      </c>
      <c r="C24" s="5" t="s">
        <v>167</v>
      </c>
      <c r="D24" s="5" t="s">
        <v>673</v>
      </c>
      <c r="E24" s="5" t="s">
        <v>674</v>
      </c>
      <c r="F24" s="5" t="s">
        <v>368</v>
      </c>
      <c r="G24" s="5" t="s">
        <v>675</v>
      </c>
      <c r="H24" s="5" t="s">
        <v>676</v>
      </c>
      <c r="I24" s="5" t="s">
        <v>156</v>
      </c>
      <c r="J24" s="5" t="s">
        <v>263</v>
      </c>
      <c r="K24" s="5" t="s">
        <v>677</v>
      </c>
      <c r="L24" s="5" t="s">
        <v>32</v>
      </c>
      <c r="M24" s="5" t="s">
        <v>265</v>
      </c>
      <c r="N24" s="5" t="s">
        <v>28</v>
      </c>
      <c r="O24" s="5"/>
      <c r="P24" s="5"/>
    </row>
    <row r="25" customFormat="false" ht="27.75" hidden="false" customHeight="true" outlineLevel="0" collapsed="false">
      <c r="A25" s="5" t="s">
        <v>678</v>
      </c>
      <c r="B25" s="5" t="s">
        <v>188</v>
      </c>
      <c r="C25" s="5" t="s">
        <v>167</v>
      </c>
      <c r="D25" s="5" t="s">
        <v>679</v>
      </c>
      <c r="E25" s="5" t="s">
        <v>680</v>
      </c>
      <c r="F25" s="5" t="s">
        <v>368</v>
      </c>
      <c r="G25" s="5" t="s">
        <v>681</v>
      </c>
      <c r="H25" s="5" t="s">
        <v>682</v>
      </c>
      <c r="I25" s="5" t="s">
        <v>157</v>
      </c>
      <c r="J25" s="5" t="s">
        <v>263</v>
      </c>
      <c r="K25" s="5" t="s">
        <v>683</v>
      </c>
      <c r="L25" s="5" t="s">
        <v>32</v>
      </c>
      <c r="M25" s="5" t="s">
        <v>265</v>
      </c>
      <c r="N25" s="5" t="s">
        <v>28</v>
      </c>
      <c r="O25" s="5"/>
      <c r="P25" s="5"/>
    </row>
    <row r="26" customFormat="false" ht="41.25" hidden="false" customHeight="true" outlineLevel="0" collapsed="false">
      <c r="A26" s="5" t="s">
        <v>684</v>
      </c>
      <c r="B26" s="5" t="s">
        <v>189</v>
      </c>
      <c r="C26" s="5" t="s">
        <v>167</v>
      </c>
      <c r="D26" s="5" t="s">
        <v>685</v>
      </c>
      <c r="E26" s="5" t="s">
        <v>686</v>
      </c>
      <c r="F26" s="5" t="s">
        <v>368</v>
      </c>
      <c r="G26" s="5" t="s">
        <v>687</v>
      </c>
      <c r="H26" s="5" t="s">
        <v>688</v>
      </c>
      <c r="I26" s="5" t="s">
        <v>157</v>
      </c>
      <c r="J26" s="5" t="s">
        <v>263</v>
      </c>
      <c r="K26" s="5" t="s">
        <v>689</v>
      </c>
      <c r="L26" s="5" t="s">
        <v>32</v>
      </c>
      <c r="M26" s="5" t="s">
        <v>265</v>
      </c>
      <c r="N26" s="5" t="s">
        <v>28</v>
      </c>
      <c r="O26" s="5"/>
      <c r="P26" s="5"/>
    </row>
    <row r="27" customFormat="false" ht="41.25" hidden="false" customHeight="true" outlineLevel="0" collapsed="false">
      <c r="A27" s="5" t="s">
        <v>690</v>
      </c>
      <c r="B27" s="5" t="s">
        <v>189</v>
      </c>
      <c r="C27" s="5" t="s">
        <v>167</v>
      </c>
      <c r="D27" s="5" t="s">
        <v>691</v>
      </c>
      <c r="E27" s="5" t="s">
        <v>692</v>
      </c>
      <c r="F27" s="5" t="s">
        <v>368</v>
      </c>
      <c r="G27" s="5" t="s">
        <v>693</v>
      </c>
      <c r="H27" s="5" t="s">
        <v>694</v>
      </c>
      <c r="I27" s="5" t="s">
        <v>156</v>
      </c>
      <c r="J27" s="5" t="s">
        <v>342</v>
      </c>
      <c r="K27" s="5" t="s">
        <v>695</v>
      </c>
      <c r="L27" s="5" t="s">
        <v>32</v>
      </c>
      <c r="M27" s="5" t="s">
        <v>265</v>
      </c>
      <c r="N27" s="5" t="s">
        <v>28</v>
      </c>
      <c r="O27" s="5"/>
      <c r="P27" s="5"/>
    </row>
    <row r="28" customFormat="false" ht="41.25" hidden="false" customHeight="true" outlineLevel="0" collapsed="false">
      <c r="A28" s="5" t="s">
        <v>696</v>
      </c>
      <c r="B28" s="5" t="s">
        <v>190</v>
      </c>
      <c r="C28" s="5" t="s">
        <v>167</v>
      </c>
      <c r="D28" s="5" t="s">
        <v>697</v>
      </c>
      <c r="E28" s="5" t="s">
        <v>698</v>
      </c>
      <c r="F28" s="5" t="s">
        <v>699</v>
      </c>
      <c r="G28" s="5" t="s">
        <v>700</v>
      </c>
      <c r="H28" s="5" t="s">
        <v>701</v>
      </c>
      <c r="I28" s="5" t="s">
        <v>156</v>
      </c>
      <c r="J28" s="5" t="s">
        <v>263</v>
      </c>
      <c r="K28" s="5" t="s">
        <v>702</v>
      </c>
      <c r="L28" s="5" t="s">
        <v>32</v>
      </c>
      <c r="M28" s="5" t="s">
        <v>265</v>
      </c>
      <c r="N28" s="5" t="s">
        <v>28</v>
      </c>
      <c r="O28" s="5"/>
      <c r="P28" s="5"/>
    </row>
    <row r="29" customFormat="false" ht="15" hidden="false" customHeight="true" outlineLevel="0" collapsed="false">
      <c r="A29" s="5" t="s">
        <v>703</v>
      </c>
      <c r="B29" s="5" t="s">
        <v>190</v>
      </c>
      <c r="C29" s="5" t="s">
        <v>167</v>
      </c>
      <c r="D29" s="5" t="s">
        <v>704</v>
      </c>
      <c r="E29" s="5" t="s">
        <v>705</v>
      </c>
      <c r="F29" s="5" t="s">
        <v>706</v>
      </c>
      <c r="G29" s="5" t="s">
        <v>707</v>
      </c>
      <c r="H29" s="5" t="s">
        <v>708</v>
      </c>
      <c r="I29" s="5" t="s">
        <v>157</v>
      </c>
      <c r="J29" s="5" t="s">
        <v>263</v>
      </c>
      <c r="K29" s="5" t="s">
        <v>709</v>
      </c>
      <c r="L29" s="5" t="s">
        <v>32</v>
      </c>
      <c r="M29" s="5" t="s">
        <v>265</v>
      </c>
      <c r="N29" s="5" t="s">
        <v>28</v>
      </c>
      <c r="O29" s="5"/>
      <c r="P29" s="5"/>
    </row>
    <row r="30" customFormat="false" ht="27.75" hidden="false" customHeight="true" outlineLevel="0" collapsed="false">
      <c r="A30" s="5" t="s">
        <v>710</v>
      </c>
      <c r="B30" s="5" t="s">
        <v>190</v>
      </c>
      <c r="C30" s="5" t="s">
        <v>167</v>
      </c>
      <c r="D30" s="5" t="s">
        <v>711</v>
      </c>
      <c r="E30" s="5" t="s">
        <v>712</v>
      </c>
      <c r="F30" s="5" t="s">
        <v>713</v>
      </c>
      <c r="G30" s="5" t="s">
        <v>714</v>
      </c>
      <c r="H30" s="5" t="s">
        <v>715</v>
      </c>
      <c r="I30" s="5" t="s">
        <v>157</v>
      </c>
      <c r="J30" s="5" t="s">
        <v>263</v>
      </c>
      <c r="K30" s="5" t="s">
        <v>716</v>
      </c>
      <c r="L30" s="5" t="s">
        <v>32</v>
      </c>
      <c r="M30" s="5" t="s">
        <v>265</v>
      </c>
      <c r="N30" s="5" t="s">
        <v>28</v>
      </c>
      <c r="O30" s="5"/>
      <c r="P30" s="5"/>
    </row>
    <row r="31" customFormat="false" ht="15" hidden="false" customHeight="true" outlineLevel="0" collapsed="false">
      <c r="A31" s="5" t="s">
        <v>717</v>
      </c>
      <c r="B31" s="5" t="s">
        <v>190</v>
      </c>
      <c r="C31" s="5" t="s">
        <v>167</v>
      </c>
      <c r="D31" s="5" t="s">
        <v>718</v>
      </c>
      <c r="E31" s="5" t="s">
        <v>719</v>
      </c>
      <c r="F31" s="5" t="s">
        <v>720</v>
      </c>
      <c r="G31" s="5" t="s">
        <v>721</v>
      </c>
      <c r="H31" s="5" t="s">
        <v>722</v>
      </c>
      <c r="I31" s="5" t="s">
        <v>156</v>
      </c>
      <c r="J31" s="5" t="s">
        <v>263</v>
      </c>
      <c r="K31" s="5" t="s">
        <v>723</v>
      </c>
      <c r="L31" s="5" t="s">
        <v>32</v>
      </c>
      <c r="M31" s="5" t="s">
        <v>265</v>
      </c>
      <c r="N31" s="5" t="s">
        <v>28</v>
      </c>
      <c r="O31" s="5"/>
      <c r="P31" s="5"/>
    </row>
    <row r="32" customFormat="false" ht="27.75" hidden="false" customHeight="true" outlineLevel="0" collapsed="false">
      <c r="A32" s="5" t="s">
        <v>724</v>
      </c>
      <c r="B32" s="5" t="s">
        <v>190</v>
      </c>
      <c r="C32" s="5" t="s">
        <v>167</v>
      </c>
      <c r="D32" s="5" t="s">
        <v>725</v>
      </c>
      <c r="E32" s="5" t="s">
        <v>705</v>
      </c>
      <c r="F32" s="5" t="s">
        <v>726</v>
      </c>
      <c r="G32" s="5" t="s">
        <v>727</v>
      </c>
      <c r="H32" s="5" t="s">
        <v>728</v>
      </c>
      <c r="I32" s="5" t="s">
        <v>156</v>
      </c>
      <c r="J32" s="5" t="s">
        <v>263</v>
      </c>
      <c r="K32" s="5" t="s">
        <v>729</v>
      </c>
      <c r="L32" s="5" t="s">
        <v>32</v>
      </c>
      <c r="M32" s="5" t="s">
        <v>265</v>
      </c>
      <c r="N32" s="5" t="s">
        <v>28</v>
      </c>
      <c r="O32" s="5"/>
      <c r="P32" s="5"/>
    </row>
    <row r="33" customFormat="false" ht="15" hidden="false" customHeight="true" outlineLevel="0" collapsed="false">
      <c r="A33" s="5" t="s">
        <v>730</v>
      </c>
      <c r="B33" s="5" t="s">
        <v>190</v>
      </c>
      <c r="C33" s="5" t="s">
        <v>167</v>
      </c>
      <c r="D33" s="5" t="s">
        <v>731</v>
      </c>
      <c r="E33" s="5" t="s">
        <v>732</v>
      </c>
      <c r="F33" s="5" t="s">
        <v>733</v>
      </c>
      <c r="G33" s="5" t="s">
        <v>734</v>
      </c>
      <c r="H33" s="5" t="s">
        <v>735</v>
      </c>
      <c r="I33" s="5" t="s">
        <v>156</v>
      </c>
      <c r="J33" s="5" t="s">
        <v>263</v>
      </c>
      <c r="K33" s="5" t="s">
        <v>736</v>
      </c>
      <c r="L33" s="5" t="s">
        <v>32</v>
      </c>
      <c r="M33" s="5" t="s">
        <v>265</v>
      </c>
      <c r="N33" s="5" t="s">
        <v>28</v>
      </c>
      <c r="O33" s="5"/>
      <c r="P33" s="5"/>
    </row>
    <row r="34" customFormat="false" ht="15" hidden="false" customHeight="true" outlineLevel="0" collapsed="false">
      <c r="A34" s="5" t="s">
        <v>737</v>
      </c>
      <c r="B34" s="5" t="s">
        <v>190</v>
      </c>
      <c r="C34" s="5" t="s">
        <v>167</v>
      </c>
      <c r="D34" s="5" t="s">
        <v>738</v>
      </c>
      <c r="E34" s="5" t="s">
        <v>739</v>
      </c>
      <c r="F34" s="5" t="s">
        <v>368</v>
      </c>
      <c r="G34" s="5" t="s">
        <v>740</v>
      </c>
      <c r="H34" s="5" t="s">
        <v>741</v>
      </c>
      <c r="I34" s="5" t="s">
        <v>157</v>
      </c>
      <c r="J34" s="5" t="s">
        <v>263</v>
      </c>
      <c r="K34" s="5" t="s">
        <v>742</v>
      </c>
      <c r="L34" s="5" t="s">
        <v>32</v>
      </c>
      <c r="M34" s="5" t="s">
        <v>265</v>
      </c>
      <c r="N34" s="5" t="s">
        <v>28</v>
      </c>
      <c r="O34" s="5"/>
      <c r="P34" s="5"/>
    </row>
    <row r="35" customFormat="false" ht="27.75" hidden="false" customHeight="true" outlineLevel="0" collapsed="false">
      <c r="A35" s="5" t="s">
        <v>743</v>
      </c>
      <c r="B35" s="5" t="s">
        <v>190</v>
      </c>
      <c r="C35" s="5" t="s">
        <v>167</v>
      </c>
      <c r="D35" s="5" t="s">
        <v>744</v>
      </c>
      <c r="E35" s="5" t="s">
        <v>745</v>
      </c>
      <c r="F35" s="5" t="s">
        <v>368</v>
      </c>
      <c r="G35" s="5" t="s">
        <v>746</v>
      </c>
      <c r="H35" s="5" t="s">
        <v>747</v>
      </c>
      <c r="I35" s="5" t="s">
        <v>157</v>
      </c>
      <c r="J35" s="5" t="s">
        <v>263</v>
      </c>
      <c r="K35" s="5" t="s">
        <v>748</v>
      </c>
      <c r="L35" s="5" t="s">
        <v>32</v>
      </c>
      <c r="M35" s="5" t="s">
        <v>265</v>
      </c>
      <c r="N35" s="5" t="s">
        <v>28</v>
      </c>
      <c r="O35" s="5"/>
      <c r="P35" s="5"/>
    </row>
    <row r="36" customFormat="false" ht="27.75" hidden="false" customHeight="true" outlineLevel="0" collapsed="false">
      <c r="A36" s="5" t="s">
        <v>749</v>
      </c>
      <c r="B36" s="5" t="s">
        <v>190</v>
      </c>
      <c r="C36" s="5" t="s">
        <v>167</v>
      </c>
      <c r="D36" s="5" t="s">
        <v>750</v>
      </c>
      <c r="E36" s="5" t="s">
        <v>368</v>
      </c>
      <c r="F36" s="5" t="s">
        <v>368</v>
      </c>
      <c r="G36" s="5" t="s">
        <v>751</v>
      </c>
      <c r="H36" s="5" t="s">
        <v>752</v>
      </c>
      <c r="I36" s="5" t="s">
        <v>157</v>
      </c>
      <c r="J36" s="5" t="s">
        <v>263</v>
      </c>
      <c r="K36" s="5" t="s">
        <v>753</v>
      </c>
      <c r="L36" s="5" t="s">
        <v>32</v>
      </c>
      <c r="M36" s="5" t="s">
        <v>265</v>
      </c>
      <c r="N36" s="5" t="s">
        <v>28</v>
      </c>
      <c r="O36" s="5"/>
      <c r="P36" s="5"/>
    </row>
    <row r="37" customFormat="false" ht="15" hidden="false" customHeight="true" outlineLevel="0" collapsed="false">
      <c r="A37" s="5" t="s">
        <v>754</v>
      </c>
      <c r="B37" s="5" t="s">
        <v>190</v>
      </c>
      <c r="C37" s="5" t="s">
        <v>167</v>
      </c>
      <c r="D37" s="5" t="s">
        <v>755</v>
      </c>
      <c r="E37" s="5" t="s">
        <v>368</v>
      </c>
      <c r="F37" s="5" t="s">
        <v>756</v>
      </c>
      <c r="G37" s="5" t="s">
        <v>757</v>
      </c>
      <c r="H37" s="5" t="s">
        <v>758</v>
      </c>
      <c r="I37" s="5" t="s">
        <v>157</v>
      </c>
      <c r="J37" s="5" t="s">
        <v>263</v>
      </c>
      <c r="K37" s="5" t="s">
        <v>759</v>
      </c>
      <c r="L37" s="5" t="s">
        <v>32</v>
      </c>
      <c r="M37" s="5" t="s">
        <v>265</v>
      </c>
      <c r="N37" s="5" t="s">
        <v>28</v>
      </c>
      <c r="O37" s="5"/>
      <c r="P37" s="5"/>
    </row>
    <row r="38" customFormat="false" ht="27.75" hidden="false" customHeight="true" outlineLevel="0" collapsed="false">
      <c r="A38" s="5" t="s">
        <v>760</v>
      </c>
      <c r="B38" s="5" t="s">
        <v>190</v>
      </c>
      <c r="C38" s="5" t="s">
        <v>167</v>
      </c>
      <c r="D38" s="5" t="s">
        <v>761</v>
      </c>
      <c r="E38" s="5" t="s">
        <v>762</v>
      </c>
      <c r="F38" s="5" t="s">
        <v>368</v>
      </c>
      <c r="G38" s="5" t="s">
        <v>763</v>
      </c>
      <c r="H38" s="5" t="s">
        <v>764</v>
      </c>
      <c r="I38" s="5" t="s">
        <v>156</v>
      </c>
      <c r="J38" s="5" t="s">
        <v>253</v>
      </c>
      <c r="K38" s="5" t="s">
        <v>765</v>
      </c>
      <c r="L38" s="5" t="s">
        <v>32</v>
      </c>
      <c r="M38" s="5" t="s">
        <v>265</v>
      </c>
      <c r="N38" s="5" t="s">
        <v>28</v>
      </c>
      <c r="O38" s="5"/>
      <c r="P38" s="5"/>
    </row>
    <row r="39" customFormat="false" ht="27.75" hidden="false" customHeight="true" outlineLevel="0" collapsed="false">
      <c r="A39" s="5" t="s">
        <v>766</v>
      </c>
      <c r="B39" s="5" t="s">
        <v>190</v>
      </c>
      <c r="C39" s="5" t="s">
        <v>167</v>
      </c>
      <c r="D39" s="5" t="s">
        <v>767</v>
      </c>
      <c r="E39" s="5" t="s">
        <v>368</v>
      </c>
      <c r="F39" s="5" t="s">
        <v>768</v>
      </c>
      <c r="G39" s="5" t="s">
        <v>769</v>
      </c>
      <c r="H39" s="5" t="s">
        <v>770</v>
      </c>
      <c r="I39" s="5" t="s">
        <v>157</v>
      </c>
      <c r="J39" s="5" t="s">
        <v>342</v>
      </c>
      <c r="K39" s="5" t="s">
        <v>771</v>
      </c>
      <c r="L39" s="5" t="s">
        <v>32</v>
      </c>
      <c r="M39" s="5" t="s">
        <v>265</v>
      </c>
      <c r="N39" s="5" t="s">
        <v>28</v>
      </c>
      <c r="O39" s="5"/>
      <c r="P39" s="5"/>
    </row>
    <row r="40" customFormat="false" ht="27.75" hidden="false" customHeight="true" outlineLevel="0" collapsed="false">
      <c r="A40" s="5" t="s">
        <v>772</v>
      </c>
      <c r="B40" s="5" t="s">
        <v>191</v>
      </c>
      <c r="C40" s="5" t="s">
        <v>167</v>
      </c>
      <c r="D40" s="5" t="s">
        <v>773</v>
      </c>
      <c r="E40" s="5" t="s">
        <v>774</v>
      </c>
      <c r="F40" s="5" t="s">
        <v>368</v>
      </c>
      <c r="G40" s="5" t="s">
        <v>775</v>
      </c>
      <c r="H40" s="5" t="s">
        <v>776</v>
      </c>
      <c r="I40" s="5" t="s">
        <v>156</v>
      </c>
      <c r="J40" s="5" t="s">
        <v>263</v>
      </c>
      <c r="K40" s="5" t="s">
        <v>777</v>
      </c>
      <c r="L40" s="5" t="s">
        <v>32</v>
      </c>
      <c r="M40" s="5" t="s">
        <v>265</v>
      </c>
      <c r="N40" s="5" t="s">
        <v>28</v>
      </c>
      <c r="O40" s="5"/>
      <c r="P40" s="5"/>
    </row>
    <row r="41" customFormat="false" ht="27.75" hidden="false" customHeight="true" outlineLevel="0" collapsed="false">
      <c r="A41" s="5" t="s">
        <v>778</v>
      </c>
      <c r="B41" s="5" t="s">
        <v>191</v>
      </c>
      <c r="C41" s="5" t="s">
        <v>167</v>
      </c>
      <c r="D41" s="5" t="s">
        <v>779</v>
      </c>
      <c r="E41" s="5" t="s">
        <v>780</v>
      </c>
      <c r="F41" s="5" t="s">
        <v>368</v>
      </c>
      <c r="G41" s="5" t="s">
        <v>781</v>
      </c>
      <c r="H41" s="5" t="s">
        <v>782</v>
      </c>
      <c r="I41" s="5" t="s">
        <v>157</v>
      </c>
      <c r="J41" s="5" t="s">
        <v>263</v>
      </c>
      <c r="K41" s="5" t="s">
        <v>783</v>
      </c>
      <c r="L41" s="5" t="s">
        <v>32</v>
      </c>
      <c r="M41" s="5" t="s">
        <v>265</v>
      </c>
      <c r="N41" s="5" t="s">
        <v>96</v>
      </c>
      <c r="O41" s="5"/>
      <c r="P41" s="5"/>
    </row>
    <row r="42" customFormat="false" ht="27.75" hidden="false" customHeight="true" outlineLevel="0" collapsed="false">
      <c r="A42" s="5" t="s">
        <v>784</v>
      </c>
      <c r="B42" s="5" t="s">
        <v>191</v>
      </c>
      <c r="C42" s="5" t="s">
        <v>167</v>
      </c>
      <c r="D42" s="5" t="s">
        <v>785</v>
      </c>
      <c r="E42" s="5" t="s">
        <v>786</v>
      </c>
      <c r="F42" s="5" t="s">
        <v>368</v>
      </c>
      <c r="G42" s="5" t="s">
        <v>787</v>
      </c>
      <c r="H42" s="5" t="s">
        <v>788</v>
      </c>
      <c r="I42" s="5" t="s">
        <v>156</v>
      </c>
      <c r="J42" s="5" t="s">
        <v>263</v>
      </c>
      <c r="K42" s="5" t="s">
        <v>789</v>
      </c>
      <c r="L42" s="5" t="s">
        <v>32</v>
      </c>
      <c r="M42" s="5" t="s">
        <v>265</v>
      </c>
      <c r="N42" s="5" t="s">
        <v>28</v>
      </c>
      <c r="O42" s="5"/>
      <c r="P42" s="5"/>
    </row>
    <row r="43" customFormat="false" ht="41.25" hidden="false" customHeight="true" outlineLevel="0" collapsed="false">
      <c r="A43" s="5" t="s">
        <v>790</v>
      </c>
      <c r="B43" s="5" t="s">
        <v>191</v>
      </c>
      <c r="C43" s="5" t="s">
        <v>167</v>
      </c>
      <c r="D43" s="5" t="s">
        <v>791</v>
      </c>
      <c r="E43" s="5" t="s">
        <v>792</v>
      </c>
      <c r="F43" s="5" t="s">
        <v>368</v>
      </c>
      <c r="G43" s="5" t="s">
        <v>793</v>
      </c>
      <c r="H43" s="5" t="s">
        <v>794</v>
      </c>
      <c r="I43" s="5" t="s">
        <v>157</v>
      </c>
      <c r="J43" s="5" t="s">
        <v>263</v>
      </c>
      <c r="K43" s="5" t="s">
        <v>795</v>
      </c>
      <c r="L43" s="5" t="s">
        <v>32</v>
      </c>
      <c r="M43" s="5" t="s">
        <v>265</v>
      </c>
      <c r="N43" s="5" t="s">
        <v>96</v>
      </c>
      <c r="O43" s="5"/>
      <c r="P43" s="5"/>
    </row>
    <row r="44" customFormat="false" ht="15" hidden="false" customHeight="true" outlineLevel="0" collapsed="false">
      <c r="A44" s="5" t="s">
        <v>796</v>
      </c>
      <c r="B44" s="5" t="s">
        <v>191</v>
      </c>
      <c r="C44" s="5" t="s">
        <v>167</v>
      </c>
      <c r="D44" s="5" t="s">
        <v>797</v>
      </c>
      <c r="E44" s="5" t="s">
        <v>798</v>
      </c>
      <c r="F44" s="5" t="s">
        <v>368</v>
      </c>
      <c r="G44" s="5" t="s">
        <v>799</v>
      </c>
      <c r="H44" s="5" t="s">
        <v>800</v>
      </c>
      <c r="I44" s="5" t="s">
        <v>158</v>
      </c>
      <c r="J44" s="5" t="s">
        <v>263</v>
      </c>
      <c r="K44" s="5" t="s">
        <v>801</v>
      </c>
      <c r="L44" s="5" t="s">
        <v>32</v>
      </c>
      <c r="M44" s="5" t="s">
        <v>265</v>
      </c>
      <c r="N44" s="5" t="s">
        <v>96</v>
      </c>
      <c r="O44" s="5"/>
      <c r="P44" s="5"/>
    </row>
    <row r="45" customFormat="false" ht="54.75" hidden="false" customHeight="true" outlineLevel="0" collapsed="false">
      <c r="A45" s="5" t="s">
        <v>802</v>
      </c>
      <c r="B45" s="5" t="s">
        <v>192</v>
      </c>
      <c r="C45" s="5" t="s">
        <v>167</v>
      </c>
      <c r="D45" s="5" t="s">
        <v>803</v>
      </c>
      <c r="E45" s="5" t="s">
        <v>804</v>
      </c>
      <c r="F45" s="5" t="s">
        <v>805</v>
      </c>
      <c r="G45" s="5" t="s">
        <v>806</v>
      </c>
      <c r="H45" s="5" t="s">
        <v>807</v>
      </c>
      <c r="I45" s="5" t="s">
        <v>156</v>
      </c>
      <c r="J45" s="5" t="s">
        <v>263</v>
      </c>
      <c r="K45" s="5" t="s">
        <v>808</v>
      </c>
      <c r="L45" s="5" t="s">
        <v>32</v>
      </c>
      <c r="M45" s="5" t="s">
        <v>265</v>
      </c>
      <c r="N45" s="5" t="s">
        <v>28</v>
      </c>
      <c r="O45" s="5"/>
      <c r="P45" s="5"/>
    </row>
    <row r="46" customFormat="false" ht="27.75" hidden="false" customHeight="true" outlineLevel="0" collapsed="false">
      <c r="A46" s="5" t="s">
        <v>809</v>
      </c>
      <c r="B46" s="5" t="s">
        <v>192</v>
      </c>
      <c r="C46" s="5" t="s">
        <v>167</v>
      </c>
      <c r="D46" s="5" t="s">
        <v>810</v>
      </c>
      <c r="E46" s="5" t="s">
        <v>811</v>
      </c>
      <c r="F46" s="5" t="s">
        <v>368</v>
      </c>
      <c r="G46" s="5" t="s">
        <v>812</v>
      </c>
      <c r="H46" s="5" t="s">
        <v>813</v>
      </c>
      <c r="I46" s="5" t="s">
        <v>156</v>
      </c>
      <c r="J46" s="5" t="s">
        <v>263</v>
      </c>
      <c r="K46" s="5" t="s">
        <v>814</v>
      </c>
      <c r="L46" s="5" t="s">
        <v>32</v>
      </c>
      <c r="M46" s="5" t="s">
        <v>265</v>
      </c>
      <c r="N46" s="5" t="s">
        <v>28</v>
      </c>
      <c r="O46" s="5"/>
      <c r="P46" s="5"/>
    </row>
    <row r="47" customFormat="false" ht="15" hidden="false" customHeight="true" outlineLevel="0" collapsed="false">
      <c r="A47" s="5" t="s">
        <v>815</v>
      </c>
      <c r="B47" s="5" t="s">
        <v>192</v>
      </c>
      <c r="C47" s="5" t="s">
        <v>167</v>
      </c>
      <c r="D47" s="5" t="s">
        <v>816</v>
      </c>
      <c r="E47" s="5" t="s">
        <v>817</v>
      </c>
      <c r="F47" s="5" t="s">
        <v>818</v>
      </c>
      <c r="G47" s="5" t="s">
        <v>819</v>
      </c>
      <c r="H47" s="5" t="s">
        <v>820</v>
      </c>
      <c r="I47" s="5" t="s">
        <v>156</v>
      </c>
      <c r="J47" s="5" t="s">
        <v>311</v>
      </c>
      <c r="K47" s="5" t="s">
        <v>821</v>
      </c>
      <c r="L47" s="5" t="s">
        <v>32</v>
      </c>
      <c r="M47" s="5" t="s">
        <v>265</v>
      </c>
      <c r="N47" s="5" t="s">
        <v>28</v>
      </c>
      <c r="O47" s="5"/>
      <c r="P47" s="5"/>
    </row>
    <row r="48" customFormat="false" ht="27.75" hidden="false" customHeight="true" outlineLevel="0" collapsed="false">
      <c r="A48" s="5" t="s">
        <v>822</v>
      </c>
      <c r="B48" s="5" t="s">
        <v>192</v>
      </c>
      <c r="C48" s="5" t="s">
        <v>167</v>
      </c>
      <c r="D48" s="5" t="s">
        <v>823</v>
      </c>
      <c r="E48" s="5" t="s">
        <v>824</v>
      </c>
      <c r="F48" s="5" t="s">
        <v>825</v>
      </c>
      <c r="G48" s="5" t="s">
        <v>826</v>
      </c>
      <c r="H48" s="5" t="s">
        <v>827</v>
      </c>
      <c r="I48" s="5" t="s">
        <v>156</v>
      </c>
      <c r="J48" s="5" t="s">
        <v>311</v>
      </c>
      <c r="K48" s="5" t="s">
        <v>828</v>
      </c>
      <c r="L48" s="5" t="s">
        <v>32</v>
      </c>
      <c r="M48" s="5" t="s">
        <v>265</v>
      </c>
      <c r="N48" s="5" t="s">
        <v>28</v>
      </c>
      <c r="O48" s="5"/>
      <c r="P48" s="5"/>
    </row>
    <row r="49" customFormat="false" ht="15" hidden="false" customHeight="true" outlineLevel="0" collapsed="false">
      <c r="A49" s="5" t="s">
        <v>829</v>
      </c>
      <c r="B49" s="5" t="s">
        <v>192</v>
      </c>
      <c r="C49" s="5" t="s">
        <v>167</v>
      </c>
      <c r="D49" s="5" t="s">
        <v>830</v>
      </c>
      <c r="E49" s="5" t="s">
        <v>831</v>
      </c>
      <c r="F49" s="5" t="s">
        <v>368</v>
      </c>
      <c r="G49" s="5" t="s">
        <v>832</v>
      </c>
      <c r="H49" s="5" t="s">
        <v>833</v>
      </c>
      <c r="I49" s="5" t="s">
        <v>156</v>
      </c>
      <c r="J49" s="5" t="s">
        <v>286</v>
      </c>
      <c r="K49" s="5" t="s">
        <v>834</v>
      </c>
      <c r="L49" s="5" t="s">
        <v>32</v>
      </c>
      <c r="M49" s="5" t="s">
        <v>265</v>
      </c>
      <c r="N49" s="5" t="s">
        <v>28</v>
      </c>
      <c r="O49" s="5"/>
      <c r="P49" s="5"/>
    </row>
    <row r="50" customFormat="false" ht="15" hidden="false" customHeight="true" outlineLevel="0" collapsed="false">
      <c r="A50" s="5" t="s">
        <v>835</v>
      </c>
      <c r="B50" s="5" t="s">
        <v>192</v>
      </c>
      <c r="C50" s="5" t="s">
        <v>167</v>
      </c>
      <c r="D50" s="5" t="s">
        <v>836</v>
      </c>
      <c r="E50" s="5" t="s">
        <v>837</v>
      </c>
      <c r="F50" s="5" t="s">
        <v>368</v>
      </c>
      <c r="G50" s="5" t="s">
        <v>838</v>
      </c>
      <c r="H50" s="5" t="s">
        <v>839</v>
      </c>
      <c r="I50" s="5" t="s">
        <v>156</v>
      </c>
      <c r="J50" s="5" t="s">
        <v>840</v>
      </c>
      <c r="K50" s="5" t="s">
        <v>841</v>
      </c>
      <c r="L50" s="5" t="s">
        <v>32</v>
      </c>
      <c r="M50" s="5" t="s">
        <v>265</v>
      </c>
      <c r="N50" s="5" t="s">
        <v>28</v>
      </c>
      <c r="O50" s="5"/>
      <c r="P50" s="5"/>
    </row>
    <row r="51" customFormat="false" ht="15" hidden="false" customHeight="true" outlineLevel="0" collapsed="false">
      <c r="A51" s="5" t="s">
        <v>842</v>
      </c>
      <c r="B51" s="5" t="s">
        <v>192</v>
      </c>
      <c r="C51" s="5" t="s">
        <v>167</v>
      </c>
      <c r="D51" s="5" t="s">
        <v>843</v>
      </c>
      <c r="E51" s="5" t="s">
        <v>844</v>
      </c>
      <c r="F51" s="5" t="s">
        <v>368</v>
      </c>
      <c r="G51" s="5" t="s">
        <v>845</v>
      </c>
      <c r="H51" s="5" t="s">
        <v>846</v>
      </c>
      <c r="I51" s="5" t="s">
        <v>156</v>
      </c>
      <c r="J51" s="5" t="s">
        <v>286</v>
      </c>
      <c r="K51" s="5" t="s">
        <v>847</v>
      </c>
      <c r="L51" s="5" t="s">
        <v>32</v>
      </c>
      <c r="M51" s="5" t="s">
        <v>265</v>
      </c>
      <c r="N51" s="5" t="s">
        <v>28</v>
      </c>
      <c r="O51" s="5"/>
      <c r="P51" s="5"/>
    </row>
    <row r="52" customFormat="false" ht="27.75" hidden="false" customHeight="true" outlineLevel="0" collapsed="false">
      <c r="A52" s="5" t="s">
        <v>848</v>
      </c>
      <c r="B52" s="5" t="s">
        <v>192</v>
      </c>
      <c r="C52" s="5" t="s">
        <v>167</v>
      </c>
      <c r="D52" s="5" t="s">
        <v>849</v>
      </c>
      <c r="E52" s="5" t="s">
        <v>274</v>
      </c>
      <c r="F52" s="5" t="s">
        <v>368</v>
      </c>
      <c r="G52" s="5" t="s">
        <v>850</v>
      </c>
      <c r="H52" s="5" t="s">
        <v>851</v>
      </c>
      <c r="I52" s="5" t="s">
        <v>156</v>
      </c>
      <c r="J52" s="5" t="s">
        <v>278</v>
      </c>
      <c r="K52" s="5" t="s">
        <v>852</v>
      </c>
      <c r="L52" s="5" t="s">
        <v>32</v>
      </c>
      <c r="M52" s="5" t="s">
        <v>265</v>
      </c>
      <c r="N52" s="5" t="s">
        <v>28</v>
      </c>
      <c r="O52" s="5"/>
      <c r="P52" s="5"/>
    </row>
    <row r="53" customFormat="false" ht="41.25" hidden="false" customHeight="true" outlineLevel="0" collapsed="false">
      <c r="A53" s="5" t="s">
        <v>853</v>
      </c>
      <c r="B53" s="5" t="s">
        <v>192</v>
      </c>
      <c r="C53" s="5" t="s">
        <v>167</v>
      </c>
      <c r="D53" s="5" t="s">
        <v>854</v>
      </c>
      <c r="E53" s="5" t="s">
        <v>855</v>
      </c>
      <c r="F53" s="5" t="s">
        <v>368</v>
      </c>
      <c r="G53" s="5" t="s">
        <v>856</v>
      </c>
      <c r="H53" s="5" t="s">
        <v>857</v>
      </c>
      <c r="I53" s="5" t="s">
        <v>156</v>
      </c>
      <c r="J53" s="5" t="s">
        <v>278</v>
      </c>
      <c r="K53" s="5" t="s">
        <v>858</v>
      </c>
      <c r="L53" s="5" t="s">
        <v>32</v>
      </c>
      <c r="M53" s="5" t="s">
        <v>265</v>
      </c>
      <c r="N53" s="5" t="s">
        <v>28</v>
      </c>
      <c r="O53" s="5"/>
      <c r="P53" s="5"/>
    </row>
    <row r="54" customFormat="false" ht="15" hidden="false" customHeight="true" outlineLevel="0" collapsed="false">
      <c r="A54" s="5" t="s">
        <v>859</v>
      </c>
      <c r="B54" s="5" t="s">
        <v>192</v>
      </c>
      <c r="C54" s="5" t="s">
        <v>167</v>
      </c>
      <c r="D54" s="5" t="s">
        <v>860</v>
      </c>
      <c r="E54" s="5" t="s">
        <v>861</v>
      </c>
      <c r="F54" s="5" t="s">
        <v>862</v>
      </c>
      <c r="G54" s="5" t="s">
        <v>863</v>
      </c>
      <c r="H54" s="5" t="s">
        <v>864</v>
      </c>
      <c r="I54" s="5" t="s">
        <v>156</v>
      </c>
      <c r="J54" s="5" t="s">
        <v>342</v>
      </c>
      <c r="K54" s="5" t="s">
        <v>865</v>
      </c>
      <c r="L54" s="5" t="s">
        <v>32</v>
      </c>
      <c r="M54" s="5" t="s">
        <v>265</v>
      </c>
      <c r="N54" s="5" t="s">
        <v>28</v>
      </c>
      <c r="O54" s="5"/>
      <c r="P54" s="5"/>
    </row>
    <row r="55" customFormat="false" ht="41.25" hidden="false" customHeight="true" outlineLevel="0" collapsed="false">
      <c r="A55" s="5" t="s">
        <v>866</v>
      </c>
      <c r="B55" s="5" t="s">
        <v>192</v>
      </c>
      <c r="C55" s="5" t="s">
        <v>167</v>
      </c>
      <c r="D55" s="5" t="s">
        <v>867</v>
      </c>
      <c r="E55" s="5" t="s">
        <v>868</v>
      </c>
      <c r="F55" s="5" t="s">
        <v>368</v>
      </c>
      <c r="G55" s="5" t="s">
        <v>869</v>
      </c>
      <c r="H55" s="5" t="s">
        <v>870</v>
      </c>
      <c r="I55" s="5" t="s">
        <v>156</v>
      </c>
      <c r="J55" s="5" t="s">
        <v>253</v>
      </c>
      <c r="K55" s="5" t="s">
        <v>871</v>
      </c>
      <c r="L55" s="5" t="s">
        <v>32</v>
      </c>
      <c r="M55" s="5" t="s">
        <v>265</v>
      </c>
      <c r="N55" s="5" t="s">
        <v>28</v>
      </c>
      <c r="O55" s="5"/>
      <c r="P55" s="5"/>
    </row>
    <row r="56" customFormat="false" ht="27.75" hidden="false" customHeight="true" outlineLevel="0" collapsed="false">
      <c r="A56" s="5" t="s">
        <v>872</v>
      </c>
      <c r="B56" s="5" t="s">
        <v>192</v>
      </c>
      <c r="C56" s="5" t="s">
        <v>167</v>
      </c>
      <c r="D56" s="5" t="s">
        <v>873</v>
      </c>
      <c r="E56" s="5" t="s">
        <v>874</v>
      </c>
      <c r="F56" s="5" t="s">
        <v>368</v>
      </c>
      <c r="G56" s="5" t="s">
        <v>875</v>
      </c>
      <c r="H56" s="5" t="s">
        <v>876</v>
      </c>
      <c r="I56" s="5" t="s">
        <v>157</v>
      </c>
      <c r="J56" s="5" t="s">
        <v>263</v>
      </c>
      <c r="K56" s="5" t="s">
        <v>877</v>
      </c>
      <c r="L56" s="5" t="s">
        <v>32</v>
      </c>
      <c r="M56" s="5" t="s">
        <v>265</v>
      </c>
      <c r="N56" s="5" t="s">
        <v>28</v>
      </c>
      <c r="O56" s="5"/>
      <c r="P56" s="5"/>
    </row>
    <row r="57" customFormat="false" ht="27.75" hidden="false" customHeight="true" outlineLevel="0" collapsed="false">
      <c r="A57" s="5" t="s">
        <v>878</v>
      </c>
      <c r="B57" s="5" t="s">
        <v>192</v>
      </c>
      <c r="C57" s="5" t="s">
        <v>167</v>
      </c>
      <c r="D57" s="5" t="s">
        <v>879</v>
      </c>
      <c r="E57" s="5" t="s">
        <v>880</v>
      </c>
      <c r="F57" s="5" t="s">
        <v>881</v>
      </c>
      <c r="G57" s="5" t="s">
        <v>882</v>
      </c>
      <c r="H57" s="5" t="s">
        <v>883</v>
      </c>
      <c r="I57" s="5" t="s">
        <v>157</v>
      </c>
      <c r="J57" s="5" t="s">
        <v>342</v>
      </c>
      <c r="K57" s="5" t="s">
        <v>884</v>
      </c>
      <c r="L57" s="5" t="s">
        <v>32</v>
      </c>
      <c r="M57" s="5" t="s">
        <v>265</v>
      </c>
      <c r="N57" s="5" t="s">
        <v>28</v>
      </c>
      <c r="O57" s="5"/>
      <c r="P57" s="5"/>
    </row>
    <row r="58" customFormat="false" ht="27.75" hidden="false" customHeight="true" outlineLevel="0" collapsed="false">
      <c r="A58" s="5" t="s">
        <v>885</v>
      </c>
      <c r="B58" s="5" t="s">
        <v>192</v>
      </c>
      <c r="C58" s="5" t="s">
        <v>167</v>
      </c>
      <c r="D58" s="5" t="s">
        <v>886</v>
      </c>
      <c r="E58" s="5" t="s">
        <v>479</v>
      </c>
      <c r="F58" s="5" t="s">
        <v>368</v>
      </c>
      <c r="G58" s="5" t="s">
        <v>887</v>
      </c>
      <c r="H58" s="5" t="s">
        <v>888</v>
      </c>
      <c r="I58" s="5" t="s">
        <v>158</v>
      </c>
      <c r="J58" s="5" t="s">
        <v>342</v>
      </c>
      <c r="K58" s="5" t="s">
        <v>889</v>
      </c>
      <c r="L58" s="5" t="s">
        <v>32</v>
      </c>
      <c r="M58" s="5" t="s">
        <v>265</v>
      </c>
      <c r="N58" s="5" t="s">
        <v>96</v>
      </c>
      <c r="O58" s="5"/>
      <c r="P58" s="5"/>
    </row>
    <row r="59" customFormat="false" ht="15" hidden="false" customHeight="true" outlineLevel="0" collapsed="false">
      <c r="A59" s="5" t="s">
        <v>890</v>
      </c>
      <c r="B59" s="5" t="s">
        <v>193</v>
      </c>
      <c r="C59" s="5" t="s">
        <v>167</v>
      </c>
      <c r="D59" s="5" t="s">
        <v>891</v>
      </c>
      <c r="E59" s="5" t="s">
        <v>892</v>
      </c>
      <c r="F59" s="5" t="s">
        <v>368</v>
      </c>
      <c r="G59" s="5" t="s">
        <v>893</v>
      </c>
      <c r="H59" s="5" t="s">
        <v>894</v>
      </c>
      <c r="I59" s="5" t="s">
        <v>156</v>
      </c>
      <c r="J59" s="5" t="s">
        <v>263</v>
      </c>
      <c r="K59" s="5" t="s">
        <v>895</v>
      </c>
      <c r="L59" s="5" t="s">
        <v>32</v>
      </c>
      <c r="M59" s="5" t="s">
        <v>265</v>
      </c>
      <c r="N59" s="5" t="s">
        <v>28</v>
      </c>
      <c r="O59" s="5"/>
      <c r="P59" s="5"/>
    </row>
    <row r="60" customFormat="false" ht="15" hidden="false" customHeight="true" outlineLevel="0" collapsed="false">
      <c r="A60" s="5" t="s">
        <v>896</v>
      </c>
      <c r="B60" s="5" t="s">
        <v>193</v>
      </c>
      <c r="C60" s="5" t="s">
        <v>167</v>
      </c>
      <c r="D60" s="5" t="s">
        <v>897</v>
      </c>
      <c r="E60" s="5" t="s">
        <v>898</v>
      </c>
      <c r="F60" s="5" t="s">
        <v>368</v>
      </c>
      <c r="G60" s="5" t="s">
        <v>899</v>
      </c>
      <c r="H60" s="5" t="s">
        <v>900</v>
      </c>
      <c r="I60" s="5" t="s">
        <v>156</v>
      </c>
      <c r="J60" s="5" t="s">
        <v>263</v>
      </c>
      <c r="K60" s="5" t="s">
        <v>901</v>
      </c>
      <c r="L60" s="5" t="s">
        <v>32</v>
      </c>
      <c r="M60" s="5" t="s">
        <v>265</v>
      </c>
      <c r="N60" s="5" t="s">
        <v>28</v>
      </c>
      <c r="O60" s="5"/>
      <c r="P60" s="5"/>
    </row>
    <row r="61" customFormat="false" ht="15" hidden="false" customHeight="true" outlineLevel="0" collapsed="false">
      <c r="A61" s="5" t="s">
        <v>902</v>
      </c>
      <c r="B61" s="5" t="s">
        <v>193</v>
      </c>
      <c r="C61" s="5" t="s">
        <v>167</v>
      </c>
      <c r="D61" s="5" t="s">
        <v>903</v>
      </c>
      <c r="E61" s="5" t="s">
        <v>904</v>
      </c>
      <c r="F61" s="5" t="s">
        <v>368</v>
      </c>
      <c r="G61" s="5" t="s">
        <v>905</v>
      </c>
      <c r="H61" s="5" t="s">
        <v>906</v>
      </c>
      <c r="I61" s="5" t="s">
        <v>157</v>
      </c>
      <c r="J61" s="5" t="s">
        <v>253</v>
      </c>
      <c r="K61" s="5" t="s">
        <v>907</v>
      </c>
      <c r="L61" s="5" t="s">
        <v>32</v>
      </c>
      <c r="M61" s="5" t="s">
        <v>265</v>
      </c>
      <c r="N61" s="5" t="s">
        <v>28</v>
      </c>
      <c r="O61" s="5"/>
      <c r="P61" s="5"/>
    </row>
    <row r="62" customFormat="false" ht="27.75" hidden="false" customHeight="true" outlineLevel="0" collapsed="false">
      <c r="A62" s="5" t="s">
        <v>908</v>
      </c>
      <c r="B62" s="5" t="s">
        <v>193</v>
      </c>
      <c r="C62" s="5" t="s">
        <v>167</v>
      </c>
      <c r="D62" s="5" t="s">
        <v>909</v>
      </c>
      <c r="E62" s="5" t="s">
        <v>910</v>
      </c>
      <c r="F62" s="5" t="s">
        <v>368</v>
      </c>
      <c r="G62" s="5" t="s">
        <v>911</v>
      </c>
      <c r="H62" s="5" t="s">
        <v>912</v>
      </c>
      <c r="I62" s="5" t="s">
        <v>156</v>
      </c>
      <c r="J62" s="5" t="s">
        <v>253</v>
      </c>
      <c r="K62" s="5" t="s">
        <v>913</v>
      </c>
      <c r="L62" s="5" t="s">
        <v>32</v>
      </c>
      <c r="M62" s="5" t="s">
        <v>265</v>
      </c>
      <c r="N62" s="5" t="s">
        <v>28</v>
      </c>
      <c r="O62" s="5"/>
      <c r="P62" s="5"/>
    </row>
    <row r="63" customFormat="false" ht="15" hidden="false" customHeight="true" outlineLevel="0" collapsed="false">
      <c r="A63" s="5" t="s">
        <v>914</v>
      </c>
      <c r="B63" s="5" t="s">
        <v>193</v>
      </c>
      <c r="C63" s="5" t="s">
        <v>167</v>
      </c>
      <c r="D63" s="5" t="s">
        <v>915</v>
      </c>
      <c r="E63" s="5" t="s">
        <v>916</v>
      </c>
      <c r="F63" s="5" t="s">
        <v>368</v>
      </c>
      <c r="G63" s="5" t="s">
        <v>917</v>
      </c>
      <c r="H63" s="5" t="s">
        <v>918</v>
      </c>
      <c r="I63" s="5" t="s">
        <v>156</v>
      </c>
      <c r="J63" s="5" t="s">
        <v>253</v>
      </c>
      <c r="K63" s="5" t="s">
        <v>919</v>
      </c>
      <c r="L63" s="5" t="s">
        <v>32</v>
      </c>
      <c r="M63" s="5" t="s">
        <v>265</v>
      </c>
      <c r="N63" s="5" t="s">
        <v>28</v>
      </c>
      <c r="O63" s="5"/>
      <c r="P63" s="5"/>
    </row>
    <row r="64" customFormat="false" ht="15" hidden="false" customHeight="true" outlineLevel="0" collapsed="false">
      <c r="A64" s="5" t="s">
        <v>920</v>
      </c>
      <c r="B64" s="5" t="s">
        <v>193</v>
      </c>
      <c r="C64" s="5" t="s">
        <v>167</v>
      </c>
      <c r="D64" s="5" t="s">
        <v>921</v>
      </c>
      <c r="E64" s="5" t="s">
        <v>922</v>
      </c>
      <c r="F64" s="5" t="s">
        <v>368</v>
      </c>
      <c r="G64" s="5" t="s">
        <v>923</v>
      </c>
      <c r="H64" s="5" t="s">
        <v>924</v>
      </c>
      <c r="I64" s="5" t="s">
        <v>156</v>
      </c>
      <c r="J64" s="5" t="s">
        <v>342</v>
      </c>
      <c r="K64" s="5" t="s">
        <v>925</v>
      </c>
      <c r="L64" s="5" t="s">
        <v>32</v>
      </c>
      <c r="M64" s="5" t="s">
        <v>265</v>
      </c>
      <c r="N64" s="5" t="s">
        <v>28</v>
      </c>
      <c r="O64" s="5"/>
      <c r="P64" s="5"/>
    </row>
    <row r="65" customFormat="false" ht="41.25" hidden="false" customHeight="true" outlineLevel="0" collapsed="false">
      <c r="A65" s="5" t="s">
        <v>926</v>
      </c>
      <c r="B65" s="5" t="s">
        <v>194</v>
      </c>
      <c r="C65" s="5" t="s">
        <v>167</v>
      </c>
      <c r="D65" s="5" t="s">
        <v>927</v>
      </c>
      <c r="E65" s="5" t="s">
        <v>479</v>
      </c>
      <c r="F65" s="5" t="s">
        <v>368</v>
      </c>
      <c r="G65" s="5" t="s">
        <v>928</v>
      </c>
      <c r="H65" s="5" t="s">
        <v>929</v>
      </c>
      <c r="I65" s="5" t="s">
        <v>157</v>
      </c>
      <c r="J65" s="5" t="s">
        <v>263</v>
      </c>
      <c r="K65" s="5" t="s">
        <v>930</v>
      </c>
      <c r="L65" s="5" t="s">
        <v>32</v>
      </c>
      <c r="M65" s="5" t="s">
        <v>265</v>
      </c>
      <c r="N65" s="5" t="s">
        <v>28</v>
      </c>
      <c r="O65" s="5"/>
      <c r="P65" s="5"/>
    </row>
    <row r="66" customFormat="false" ht="15" hidden="false" customHeight="true" outlineLevel="0" collapsed="false">
      <c r="A66" s="5" t="s">
        <v>931</v>
      </c>
      <c r="B66" s="5" t="s">
        <v>194</v>
      </c>
      <c r="C66" s="5" t="s">
        <v>167</v>
      </c>
      <c r="D66" s="5" t="s">
        <v>932</v>
      </c>
      <c r="E66" s="5" t="s">
        <v>274</v>
      </c>
      <c r="F66" s="5" t="s">
        <v>368</v>
      </c>
      <c r="G66" s="5" t="s">
        <v>933</v>
      </c>
      <c r="H66" s="5" t="s">
        <v>934</v>
      </c>
      <c r="I66" s="5" t="s">
        <v>157</v>
      </c>
      <c r="J66" s="5" t="s">
        <v>278</v>
      </c>
      <c r="K66" s="5" t="s">
        <v>935</v>
      </c>
      <c r="L66" s="5" t="s">
        <v>32</v>
      </c>
      <c r="M66" s="5" t="s">
        <v>265</v>
      </c>
      <c r="N66" s="5" t="s">
        <v>28</v>
      </c>
      <c r="O66" s="5"/>
      <c r="P66" s="5"/>
    </row>
    <row r="67" customFormat="false" ht="41.25" hidden="false" customHeight="true" outlineLevel="0" collapsed="false">
      <c r="A67" s="5" t="s">
        <v>936</v>
      </c>
      <c r="B67" s="5" t="s">
        <v>194</v>
      </c>
      <c r="C67" s="5" t="s">
        <v>167</v>
      </c>
      <c r="D67" s="5" t="s">
        <v>937</v>
      </c>
      <c r="E67" s="5" t="s">
        <v>479</v>
      </c>
      <c r="F67" s="5" t="s">
        <v>938</v>
      </c>
      <c r="G67" s="5" t="s">
        <v>939</v>
      </c>
      <c r="H67" s="5" t="s">
        <v>940</v>
      </c>
      <c r="I67" s="5" t="s">
        <v>157</v>
      </c>
      <c r="J67" s="5" t="s">
        <v>263</v>
      </c>
      <c r="K67" s="5" t="s">
        <v>941</v>
      </c>
      <c r="L67" s="5" t="s">
        <v>32</v>
      </c>
      <c r="M67" s="5" t="s">
        <v>265</v>
      </c>
      <c r="N67" s="5" t="s">
        <v>28</v>
      </c>
      <c r="O67" s="5"/>
      <c r="P67" s="5"/>
    </row>
    <row r="68" customFormat="false" ht="27.75" hidden="false" customHeight="true" outlineLevel="0" collapsed="false">
      <c r="A68" s="5" t="s">
        <v>942</v>
      </c>
      <c r="B68" s="5" t="s">
        <v>194</v>
      </c>
      <c r="C68" s="5" t="s">
        <v>167</v>
      </c>
      <c r="D68" s="5" t="s">
        <v>943</v>
      </c>
      <c r="E68" s="5" t="s">
        <v>944</v>
      </c>
      <c r="F68" s="5" t="s">
        <v>368</v>
      </c>
      <c r="G68" s="5" t="s">
        <v>945</v>
      </c>
      <c r="H68" s="5" t="s">
        <v>946</v>
      </c>
      <c r="I68" s="5" t="s">
        <v>158</v>
      </c>
      <c r="J68" s="5" t="s">
        <v>263</v>
      </c>
      <c r="K68" s="5" t="s">
        <v>947</v>
      </c>
      <c r="L68" s="5" t="s">
        <v>32</v>
      </c>
      <c r="M68" s="5" t="s">
        <v>265</v>
      </c>
      <c r="N68" s="5" t="s">
        <v>96</v>
      </c>
      <c r="O68" s="5"/>
      <c r="P68" s="5"/>
    </row>
    <row r="69" customFormat="false" ht="41.25" hidden="false" customHeight="true" outlineLevel="0" collapsed="false">
      <c r="A69" s="5" t="s">
        <v>948</v>
      </c>
      <c r="B69" s="5" t="s">
        <v>195</v>
      </c>
      <c r="C69" s="5" t="s">
        <v>167</v>
      </c>
      <c r="D69" s="5" t="s">
        <v>949</v>
      </c>
      <c r="E69" s="5" t="s">
        <v>479</v>
      </c>
      <c r="F69" s="5" t="s">
        <v>950</v>
      </c>
      <c r="G69" s="5" t="s">
        <v>951</v>
      </c>
      <c r="H69" s="5" t="s">
        <v>952</v>
      </c>
      <c r="I69" s="5" t="s">
        <v>157</v>
      </c>
      <c r="J69" s="5" t="s">
        <v>263</v>
      </c>
      <c r="K69" s="5" t="s">
        <v>953</v>
      </c>
      <c r="L69" s="5" t="s">
        <v>32</v>
      </c>
      <c r="M69" s="5" t="s">
        <v>265</v>
      </c>
      <c r="N69" s="5" t="s">
        <v>96</v>
      </c>
      <c r="O69" s="5" t="s">
        <v>954</v>
      </c>
      <c r="P69" s="5"/>
    </row>
    <row r="70" customFormat="false" ht="27.75" hidden="false" customHeight="true" outlineLevel="0" collapsed="false">
      <c r="A70" s="5" t="s">
        <v>955</v>
      </c>
      <c r="B70" s="5" t="s">
        <v>195</v>
      </c>
      <c r="C70" s="5" t="s">
        <v>167</v>
      </c>
      <c r="D70" s="5" t="s">
        <v>956</v>
      </c>
      <c r="E70" s="5" t="s">
        <v>957</v>
      </c>
      <c r="F70" s="5" t="s">
        <v>368</v>
      </c>
      <c r="G70" s="5" t="s">
        <v>958</v>
      </c>
      <c r="H70" s="5" t="s">
        <v>959</v>
      </c>
      <c r="I70" s="5" t="s">
        <v>157</v>
      </c>
      <c r="J70" s="5" t="s">
        <v>263</v>
      </c>
      <c r="K70" s="5" t="s">
        <v>960</v>
      </c>
      <c r="L70" s="5" t="s">
        <v>32</v>
      </c>
      <c r="M70" s="5" t="s">
        <v>265</v>
      </c>
      <c r="N70" s="5" t="s">
        <v>96</v>
      </c>
      <c r="O70" s="5"/>
      <c r="P70" s="5"/>
    </row>
    <row r="71" customFormat="false" ht="27.75" hidden="false" customHeight="true" outlineLevel="0" collapsed="false">
      <c r="A71" s="5" t="s">
        <v>961</v>
      </c>
      <c r="B71" s="5" t="s">
        <v>195</v>
      </c>
      <c r="C71" s="5" t="s">
        <v>167</v>
      </c>
      <c r="D71" s="5" t="s">
        <v>962</v>
      </c>
      <c r="E71" s="5" t="s">
        <v>479</v>
      </c>
      <c r="F71" s="5" t="s">
        <v>963</v>
      </c>
      <c r="G71" s="5" t="s">
        <v>964</v>
      </c>
      <c r="H71" s="5" t="s">
        <v>965</v>
      </c>
      <c r="I71" s="5" t="s">
        <v>157</v>
      </c>
      <c r="J71" s="5" t="s">
        <v>286</v>
      </c>
      <c r="K71" s="5" t="s">
        <v>966</v>
      </c>
      <c r="L71" s="5" t="s">
        <v>32</v>
      </c>
      <c r="M71" s="5" t="s">
        <v>265</v>
      </c>
      <c r="N71" s="5" t="s">
        <v>96</v>
      </c>
      <c r="O71" s="5"/>
      <c r="P71" s="5"/>
    </row>
    <row r="72" customFormat="false" ht="15" hidden="false" customHeight="true" outlineLevel="0" collapsed="false">
      <c r="A72" s="5" t="s">
        <v>967</v>
      </c>
      <c r="B72" s="5" t="s">
        <v>195</v>
      </c>
      <c r="C72" s="5" t="s">
        <v>167</v>
      </c>
      <c r="D72" s="5" t="s">
        <v>968</v>
      </c>
      <c r="E72" s="5" t="s">
        <v>969</v>
      </c>
      <c r="F72" s="5" t="s">
        <v>368</v>
      </c>
      <c r="G72" s="5" t="s">
        <v>970</v>
      </c>
      <c r="H72" s="5" t="s">
        <v>971</v>
      </c>
      <c r="I72" s="5" t="s">
        <v>157</v>
      </c>
      <c r="J72" s="5" t="s">
        <v>311</v>
      </c>
      <c r="K72" s="5" t="s">
        <v>972</v>
      </c>
      <c r="L72" s="5" t="s">
        <v>32</v>
      </c>
      <c r="M72" s="5" t="s">
        <v>265</v>
      </c>
      <c r="N72" s="5" t="s">
        <v>96</v>
      </c>
      <c r="O72" s="5"/>
      <c r="P72" s="5"/>
    </row>
    <row r="73" customFormat="false" ht="41.25" hidden="false" customHeight="true" outlineLevel="0" collapsed="false">
      <c r="A73" s="5" t="s">
        <v>973</v>
      </c>
      <c r="B73" s="5" t="s">
        <v>195</v>
      </c>
      <c r="C73" s="5" t="s">
        <v>167</v>
      </c>
      <c r="D73" s="5" t="s">
        <v>974</v>
      </c>
      <c r="E73" s="5" t="s">
        <v>975</v>
      </c>
      <c r="F73" s="5" t="s">
        <v>368</v>
      </c>
      <c r="G73" s="5" t="s">
        <v>976</v>
      </c>
      <c r="H73" s="5" t="s">
        <v>977</v>
      </c>
      <c r="I73" s="5" t="s">
        <v>158</v>
      </c>
      <c r="J73" s="5" t="s">
        <v>263</v>
      </c>
      <c r="K73" s="5" t="s">
        <v>978</v>
      </c>
      <c r="L73" s="5" t="s">
        <v>32</v>
      </c>
      <c r="M73" s="5" t="s">
        <v>265</v>
      </c>
      <c r="N73" s="5" t="s">
        <v>96</v>
      </c>
      <c r="O73" s="5" t="s">
        <v>979</v>
      </c>
      <c r="P73" s="5"/>
    </row>
    <row r="74" customFormat="false" ht="15" hidden="false" customHeight="true" outlineLevel="0" collapsed="false">
      <c r="A74" s="5" t="s">
        <v>980</v>
      </c>
      <c r="B74" s="5" t="s">
        <v>195</v>
      </c>
      <c r="C74" s="5" t="s">
        <v>167</v>
      </c>
      <c r="D74" s="5" t="s">
        <v>981</v>
      </c>
      <c r="E74" s="5" t="s">
        <v>975</v>
      </c>
      <c r="F74" s="5" t="s">
        <v>368</v>
      </c>
      <c r="G74" s="5" t="s">
        <v>982</v>
      </c>
      <c r="H74" s="5" t="s">
        <v>983</v>
      </c>
      <c r="I74" s="5" t="s">
        <v>158</v>
      </c>
      <c r="J74" s="5" t="s">
        <v>342</v>
      </c>
      <c r="K74" s="5" t="s">
        <v>984</v>
      </c>
      <c r="L74" s="5" t="s">
        <v>32</v>
      </c>
      <c r="M74" s="5" t="s">
        <v>265</v>
      </c>
      <c r="N74" s="5" t="s">
        <v>96</v>
      </c>
      <c r="O74" s="5"/>
      <c r="P74" s="5"/>
    </row>
    <row r="75" customFormat="false" ht="27.75" hidden="false" customHeight="true" outlineLevel="0" collapsed="false">
      <c r="A75" s="5" t="s">
        <v>985</v>
      </c>
      <c r="B75" s="5" t="s">
        <v>196</v>
      </c>
      <c r="C75" s="5" t="s">
        <v>167</v>
      </c>
      <c r="D75" s="5" t="s">
        <v>986</v>
      </c>
      <c r="E75" s="5" t="s">
        <v>987</v>
      </c>
      <c r="F75" s="5" t="s">
        <v>368</v>
      </c>
      <c r="G75" s="5" t="s">
        <v>988</v>
      </c>
      <c r="H75" s="5" t="s">
        <v>989</v>
      </c>
      <c r="I75" s="5" t="s">
        <v>156</v>
      </c>
      <c r="J75" s="5" t="s">
        <v>263</v>
      </c>
      <c r="K75" s="5" t="s">
        <v>990</v>
      </c>
      <c r="L75" s="5" t="s">
        <v>32</v>
      </c>
      <c r="M75" s="5" t="s">
        <v>265</v>
      </c>
      <c r="N75" s="5" t="s">
        <v>28</v>
      </c>
      <c r="O75" s="5"/>
      <c r="P75" s="5"/>
    </row>
    <row r="76" customFormat="false" ht="41.25" hidden="false" customHeight="true" outlineLevel="0" collapsed="false">
      <c r="A76" s="5" t="s">
        <v>991</v>
      </c>
      <c r="B76" s="5" t="s">
        <v>196</v>
      </c>
      <c r="C76" s="5" t="s">
        <v>167</v>
      </c>
      <c r="D76" s="5" t="s">
        <v>992</v>
      </c>
      <c r="E76" s="5" t="s">
        <v>993</v>
      </c>
      <c r="F76" s="5" t="s">
        <v>368</v>
      </c>
      <c r="G76" s="5" t="s">
        <v>994</v>
      </c>
      <c r="H76" s="5" t="s">
        <v>995</v>
      </c>
      <c r="I76" s="5" t="s">
        <v>157</v>
      </c>
      <c r="J76" s="5" t="s">
        <v>263</v>
      </c>
      <c r="K76" s="5" t="s">
        <v>996</v>
      </c>
      <c r="L76" s="5" t="s">
        <v>32</v>
      </c>
      <c r="M76" s="5" t="s">
        <v>265</v>
      </c>
      <c r="N76" s="5" t="s">
        <v>28</v>
      </c>
      <c r="O76" s="5"/>
      <c r="P76" s="5"/>
    </row>
    <row r="77" customFormat="false" ht="15" hidden="false" customHeight="true" outlineLevel="0" collapsed="false">
      <c r="A77" s="5" t="s">
        <v>997</v>
      </c>
      <c r="B77" s="5" t="s">
        <v>196</v>
      </c>
      <c r="C77" s="5" t="s">
        <v>167</v>
      </c>
      <c r="D77" s="5" t="s">
        <v>998</v>
      </c>
      <c r="E77" s="5" t="s">
        <v>999</v>
      </c>
      <c r="F77" s="5" t="s">
        <v>1000</v>
      </c>
      <c r="G77" s="5" t="s">
        <v>1001</v>
      </c>
      <c r="H77" s="5" t="s">
        <v>1002</v>
      </c>
      <c r="I77" s="5" t="s">
        <v>158</v>
      </c>
      <c r="J77" s="5" t="s">
        <v>263</v>
      </c>
      <c r="K77" s="5" t="s">
        <v>1003</v>
      </c>
      <c r="L77" s="5" t="s">
        <v>32</v>
      </c>
      <c r="M77" s="5" t="s">
        <v>265</v>
      </c>
      <c r="N77" s="5" t="s">
        <v>96</v>
      </c>
      <c r="O77" s="5"/>
      <c r="P77" s="5"/>
    </row>
    <row r="78" customFormat="false" ht="54.75" hidden="false" customHeight="true" outlineLevel="0" collapsed="false">
      <c r="A78" s="5" t="s">
        <v>1004</v>
      </c>
      <c r="B78" s="5" t="s">
        <v>197</v>
      </c>
      <c r="C78" s="5" t="s">
        <v>167</v>
      </c>
      <c r="D78" s="5" t="s">
        <v>1005</v>
      </c>
      <c r="E78" s="5" t="s">
        <v>479</v>
      </c>
      <c r="F78" s="5" t="s">
        <v>1006</v>
      </c>
      <c r="G78" s="5" t="s">
        <v>1007</v>
      </c>
      <c r="H78" s="5" t="s">
        <v>1008</v>
      </c>
      <c r="I78" s="5" t="s">
        <v>157</v>
      </c>
      <c r="J78" s="5" t="s">
        <v>263</v>
      </c>
      <c r="K78" s="5" t="s">
        <v>1009</v>
      </c>
      <c r="L78" s="5" t="s">
        <v>32</v>
      </c>
      <c r="M78" s="5" t="s">
        <v>265</v>
      </c>
      <c r="N78" s="5" t="s">
        <v>28</v>
      </c>
      <c r="O78" s="5"/>
      <c r="P78" s="5"/>
    </row>
    <row r="79" customFormat="false" ht="15" hidden="false" customHeight="true" outlineLevel="0" collapsed="false">
      <c r="A79" s="5" t="s">
        <v>1010</v>
      </c>
      <c r="B79" s="5" t="s">
        <v>197</v>
      </c>
      <c r="C79" s="5" t="s">
        <v>167</v>
      </c>
      <c r="D79" s="5" t="s">
        <v>1011</v>
      </c>
      <c r="E79" s="5" t="s">
        <v>1012</v>
      </c>
      <c r="F79" s="5" t="s">
        <v>368</v>
      </c>
      <c r="G79" s="5" t="s">
        <v>1013</v>
      </c>
      <c r="H79" s="5" t="s">
        <v>1014</v>
      </c>
      <c r="I79" s="5" t="s">
        <v>157</v>
      </c>
      <c r="J79" s="5" t="s">
        <v>286</v>
      </c>
      <c r="K79" s="5" t="s">
        <v>1015</v>
      </c>
      <c r="L79" s="5" t="s">
        <v>32</v>
      </c>
      <c r="M79" s="5" t="s">
        <v>265</v>
      </c>
      <c r="N79" s="5" t="s">
        <v>28</v>
      </c>
      <c r="O79" s="5"/>
      <c r="P79" s="5"/>
    </row>
    <row r="80" customFormat="false" ht="27.75" hidden="false" customHeight="true" outlineLevel="0" collapsed="false">
      <c r="A80" s="5" t="s">
        <v>1016</v>
      </c>
      <c r="B80" s="5" t="s">
        <v>197</v>
      </c>
      <c r="C80" s="5" t="s">
        <v>167</v>
      </c>
      <c r="D80" s="5" t="s">
        <v>1017</v>
      </c>
      <c r="E80" s="5" t="s">
        <v>479</v>
      </c>
      <c r="F80" s="5" t="s">
        <v>368</v>
      </c>
      <c r="G80" s="5" t="s">
        <v>1018</v>
      </c>
      <c r="H80" s="5" t="s">
        <v>1019</v>
      </c>
      <c r="I80" s="5" t="s">
        <v>158</v>
      </c>
      <c r="J80" s="5" t="s">
        <v>263</v>
      </c>
      <c r="K80" s="5" t="s">
        <v>1020</v>
      </c>
      <c r="L80" s="5" t="s">
        <v>32</v>
      </c>
      <c r="M80" s="5" t="s">
        <v>265</v>
      </c>
      <c r="N80" s="5" t="s">
        <v>96</v>
      </c>
      <c r="O80" s="5"/>
      <c r="P80" s="5"/>
    </row>
    <row r="81" customFormat="false" ht="15" hidden="false" customHeight="true" outlineLevel="0" collapsed="false">
      <c r="A81" s="5" t="s">
        <v>1021</v>
      </c>
      <c r="B81" s="5" t="s">
        <v>197</v>
      </c>
      <c r="C81" s="5" t="s">
        <v>167</v>
      </c>
      <c r="D81" s="5" t="s">
        <v>1022</v>
      </c>
      <c r="E81" s="5" t="s">
        <v>479</v>
      </c>
      <c r="F81" s="5" t="s">
        <v>368</v>
      </c>
      <c r="G81" s="5" t="s">
        <v>1023</v>
      </c>
      <c r="H81" s="5" t="s">
        <v>1024</v>
      </c>
      <c r="I81" s="5" t="s">
        <v>158</v>
      </c>
      <c r="J81" s="5" t="s">
        <v>342</v>
      </c>
      <c r="K81" s="5" t="s">
        <v>1025</v>
      </c>
      <c r="L81" s="5" t="s">
        <v>32</v>
      </c>
      <c r="M81" s="5" t="s">
        <v>265</v>
      </c>
      <c r="N81" s="5" t="s">
        <v>96</v>
      </c>
      <c r="O81" s="5"/>
      <c r="P81" s="5"/>
    </row>
    <row r="82" customFormat="false" ht="27.75" hidden="false" customHeight="true" outlineLevel="0" collapsed="false">
      <c r="A82" s="5" t="s">
        <v>1026</v>
      </c>
      <c r="B82" s="5" t="s">
        <v>198</v>
      </c>
      <c r="C82" s="5" t="s">
        <v>167</v>
      </c>
      <c r="D82" s="5" t="s">
        <v>1027</v>
      </c>
      <c r="E82" s="5" t="s">
        <v>1028</v>
      </c>
      <c r="F82" s="5" t="s">
        <v>368</v>
      </c>
      <c r="G82" s="5" t="s">
        <v>1029</v>
      </c>
      <c r="H82" s="5" t="s">
        <v>1030</v>
      </c>
      <c r="I82" s="5" t="s">
        <v>157</v>
      </c>
      <c r="J82" s="5" t="s">
        <v>263</v>
      </c>
      <c r="K82" s="5" t="s">
        <v>1031</v>
      </c>
      <c r="L82" s="5" t="s">
        <v>32</v>
      </c>
      <c r="M82" s="5" t="s">
        <v>265</v>
      </c>
      <c r="N82" s="5" t="s">
        <v>28</v>
      </c>
      <c r="O82" s="5"/>
      <c r="P82" s="5"/>
    </row>
    <row r="83" customFormat="false" ht="27.75" hidden="false" customHeight="true" outlineLevel="0" collapsed="false">
      <c r="A83" s="5" t="s">
        <v>1032</v>
      </c>
      <c r="B83" s="5" t="s">
        <v>198</v>
      </c>
      <c r="C83" s="5" t="s">
        <v>167</v>
      </c>
      <c r="D83" s="5" t="s">
        <v>1033</v>
      </c>
      <c r="E83" s="5" t="s">
        <v>1034</v>
      </c>
      <c r="F83" s="5" t="s">
        <v>368</v>
      </c>
      <c r="G83" s="5" t="s">
        <v>1035</v>
      </c>
      <c r="H83" s="5" t="s">
        <v>1036</v>
      </c>
      <c r="I83" s="5" t="s">
        <v>157</v>
      </c>
      <c r="J83" s="5" t="s">
        <v>263</v>
      </c>
      <c r="K83" s="5" t="s">
        <v>1037</v>
      </c>
      <c r="L83" s="5" t="s">
        <v>32</v>
      </c>
      <c r="M83" s="5" t="s">
        <v>265</v>
      </c>
      <c r="N83" s="5" t="s">
        <v>28</v>
      </c>
      <c r="O83" s="5"/>
      <c r="P83" s="5"/>
    </row>
    <row r="84" customFormat="false" ht="15" hidden="false" customHeight="true" outlineLevel="0" collapsed="false">
      <c r="A84" s="5" t="s">
        <v>1038</v>
      </c>
      <c r="B84" s="5" t="s">
        <v>198</v>
      </c>
      <c r="C84" s="5" t="s">
        <v>167</v>
      </c>
      <c r="D84" s="5" t="s">
        <v>1039</v>
      </c>
      <c r="E84" s="5" t="s">
        <v>1040</v>
      </c>
      <c r="F84" s="5" t="s">
        <v>1041</v>
      </c>
      <c r="G84" s="5" t="s">
        <v>1042</v>
      </c>
      <c r="H84" s="5" t="s">
        <v>1043</v>
      </c>
      <c r="I84" s="5" t="s">
        <v>157</v>
      </c>
      <c r="J84" s="5" t="s">
        <v>263</v>
      </c>
      <c r="K84" s="5" t="s">
        <v>1044</v>
      </c>
      <c r="L84" s="5" t="s">
        <v>32</v>
      </c>
      <c r="M84" s="5" t="s">
        <v>265</v>
      </c>
      <c r="N84" s="5" t="s">
        <v>28</v>
      </c>
      <c r="O84" s="5"/>
      <c r="P84" s="5"/>
    </row>
    <row r="85" customFormat="false" ht="41.25" hidden="false" customHeight="true" outlineLevel="0" collapsed="false">
      <c r="A85" s="5" t="s">
        <v>1045</v>
      </c>
      <c r="B85" s="5" t="s">
        <v>198</v>
      </c>
      <c r="C85" s="5" t="s">
        <v>167</v>
      </c>
      <c r="D85" s="5" t="s">
        <v>1046</v>
      </c>
      <c r="E85" s="5" t="s">
        <v>1047</v>
      </c>
      <c r="F85" s="5" t="s">
        <v>368</v>
      </c>
      <c r="G85" s="5" t="s">
        <v>1048</v>
      </c>
      <c r="H85" s="5" t="s">
        <v>1049</v>
      </c>
      <c r="I85" s="5" t="s">
        <v>157</v>
      </c>
      <c r="J85" s="5" t="s">
        <v>263</v>
      </c>
      <c r="K85" s="5" t="s">
        <v>1050</v>
      </c>
      <c r="L85" s="5" t="s">
        <v>32</v>
      </c>
      <c r="M85" s="5" t="s">
        <v>265</v>
      </c>
      <c r="N85" s="5" t="s">
        <v>28</v>
      </c>
      <c r="O85" s="5"/>
      <c r="P85" s="5"/>
    </row>
    <row r="86" customFormat="false" ht="27.75" hidden="false" customHeight="true" outlineLevel="0" collapsed="false">
      <c r="A86" s="5" t="s">
        <v>1051</v>
      </c>
      <c r="B86" s="5" t="s">
        <v>198</v>
      </c>
      <c r="C86" s="5" t="s">
        <v>167</v>
      </c>
      <c r="D86" s="5" t="s">
        <v>1052</v>
      </c>
      <c r="E86" s="5" t="s">
        <v>1053</v>
      </c>
      <c r="F86" s="5" t="s">
        <v>368</v>
      </c>
      <c r="G86" s="5" t="s">
        <v>1054</v>
      </c>
      <c r="H86" s="5" t="s">
        <v>1055</v>
      </c>
      <c r="I86" s="5" t="s">
        <v>158</v>
      </c>
      <c r="J86" s="5" t="s">
        <v>263</v>
      </c>
      <c r="K86" s="5" t="s">
        <v>1056</v>
      </c>
      <c r="L86" s="5" t="s">
        <v>32</v>
      </c>
      <c r="M86" s="5" t="s">
        <v>265</v>
      </c>
      <c r="N86" s="5" t="s">
        <v>96</v>
      </c>
      <c r="O86" s="5"/>
      <c r="P86" s="5"/>
    </row>
    <row r="87" customFormat="false" ht="27.75" hidden="false" customHeight="true" outlineLevel="0" collapsed="false">
      <c r="A87" s="5" t="s">
        <v>1057</v>
      </c>
      <c r="B87" s="5" t="s">
        <v>198</v>
      </c>
      <c r="C87" s="5" t="s">
        <v>167</v>
      </c>
      <c r="D87" s="5" t="s">
        <v>1058</v>
      </c>
      <c r="E87" s="5" t="s">
        <v>1059</v>
      </c>
      <c r="F87" s="5" t="s">
        <v>368</v>
      </c>
      <c r="G87" s="5" t="s">
        <v>1042</v>
      </c>
      <c r="H87" s="5" t="s">
        <v>1060</v>
      </c>
      <c r="I87" s="5" t="s">
        <v>158</v>
      </c>
      <c r="J87" s="5" t="s">
        <v>263</v>
      </c>
      <c r="K87" s="5" t="s">
        <v>1061</v>
      </c>
      <c r="L87" s="5" t="s">
        <v>32</v>
      </c>
      <c r="M87" s="5" t="s">
        <v>265</v>
      </c>
      <c r="N87" s="5" t="s">
        <v>96</v>
      </c>
      <c r="O87" s="5"/>
      <c r="P87" s="5"/>
    </row>
    <row r="88" customFormat="false" ht="27.75" hidden="false" customHeight="true" outlineLevel="0" collapsed="false">
      <c r="A88" s="5" t="s">
        <v>1062</v>
      </c>
      <c r="B88" s="5" t="s">
        <v>198</v>
      </c>
      <c r="C88" s="5" t="s">
        <v>167</v>
      </c>
      <c r="D88" s="5" t="s">
        <v>1063</v>
      </c>
      <c r="E88" s="5" t="s">
        <v>1064</v>
      </c>
      <c r="F88" s="5" t="s">
        <v>368</v>
      </c>
      <c r="G88" s="5" t="s">
        <v>1065</v>
      </c>
      <c r="H88" s="5" t="s">
        <v>1066</v>
      </c>
      <c r="I88" s="5" t="s">
        <v>158</v>
      </c>
      <c r="J88" s="5" t="s">
        <v>342</v>
      </c>
      <c r="K88" s="5" t="s">
        <v>1067</v>
      </c>
      <c r="L88" s="5" t="s">
        <v>32</v>
      </c>
      <c r="M88" s="5" t="s">
        <v>265</v>
      </c>
      <c r="N88" s="5" t="s">
        <v>96</v>
      </c>
      <c r="O88" s="5"/>
      <c r="P88" s="5"/>
    </row>
    <row r="89" customFormat="false" ht="15" hidden="false" customHeight="true" outlineLevel="0" collapsed="false">
      <c r="A89" s="5" t="s">
        <v>1068</v>
      </c>
      <c r="B89" s="5" t="s">
        <v>198</v>
      </c>
      <c r="C89" s="5" t="s">
        <v>167</v>
      </c>
      <c r="D89" s="5" t="s">
        <v>1069</v>
      </c>
      <c r="E89" s="5" t="s">
        <v>1070</v>
      </c>
      <c r="F89" s="5" t="s">
        <v>368</v>
      </c>
      <c r="G89" s="5" t="s">
        <v>1071</v>
      </c>
      <c r="H89" s="5" t="s">
        <v>1072</v>
      </c>
      <c r="I89" s="5" t="s">
        <v>158</v>
      </c>
      <c r="J89" s="5" t="s">
        <v>342</v>
      </c>
      <c r="K89" s="5" t="s">
        <v>1073</v>
      </c>
      <c r="L89" s="5" t="s">
        <v>32</v>
      </c>
      <c r="M89" s="5" t="s">
        <v>265</v>
      </c>
      <c r="N89" s="5" t="s">
        <v>96</v>
      </c>
      <c r="O89" s="5"/>
      <c r="P89" s="5"/>
    </row>
    <row r="90" customFormat="false" ht="15" hidden="false" customHeight="true" outlineLevel="0" collapsed="false">
      <c r="A90" s="5" t="s">
        <v>1074</v>
      </c>
      <c r="B90" s="5" t="s">
        <v>198</v>
      </c>
      <c r="C90" s="5" t="s">
        <v>167</v>
      </c>
      <c r="D90" s="5" t="s">
        <v>1075</v>
      </c>
      <c r="E90" s="5" t="s">
        <v>855</v>
      </c>
      <c r="F90" s="5" t="s">
        <v>368</v>
      </c>
      <c r="G90" s="5" t="s">
        <v>1029</v>
      </c>
      <c r="H90" s="5" t="s">
        <v>1076</v>
      </c>
      <c r="I90" s="5" t="s">
        <v>157</v>
      </c>
      <c r="J90" s="5" t="s">
        <v>278</v>
      </c>
      <c r="K90" s="5" t="s">
        <v>1077</v>
      </c>
      <c r="L90" s="5" t="s">
        <v>32</v>
      </c>
      <c r="M90" s="5" t="s">
        <v>265</v>
      </c>
      <c r="N90" s="5" t="s">
        <v>28</v>
      </c>
      <c r="O90" s="5"/>
      <c r="P90" s="5"/>
    </row>
    <row r="91" customFormat="false" ht="27.75" hidden="false" customHeight="true" outlineLevel="0" collapsed="false">
      <c r="A91" s="5" t="s">
        <v>1078</v>
      </c>
      <c r="B91" s="5" t="s">
        <v>199</v>
      </c>
      <c r="C91" s="5" t="s">
        <v>167</v>
      </c>
      <c r="D91" s="5" t="s">
        <v>1079</v>
      </c>
      <c r="E91" s="5" t="s">
        <v>1080</v>
      </c>
      <c r="F91" s="5" t="s">
        <v>368</v>
      </c>
      <c r="G91" s="5" t="s">
        <v>1081</v>
      </c>
      <c r="H91" s="5" t="s">
        <v>1082</v>
      </c>
      <c r="I91" s="5" t="s">
        <v>157</v>
      </c>
      <c r="J91" s="5" t="s">
        <v>263</v>
      </c>
      <c r="K91" s="5" t="s">
        <v>1083</v>
      </c>
      <c r="L91" s="5" t="s">
        <v>32</v>
      </c>
      <c r="M91" s="5" t="s">
        <v>265</v>
      </c>
      <c r="N91" s="5" t="s">
        <v>28</v>
      </c>
      <c r="O91" s="5"/>
      <c r="P91" s="5"/>
    </row>
    <row r="92" customFormat="false" ht="27.75" hidden="false" customHeight="true" outlineLevel="0" collapsed="false">
      <c r="A92" s="5" t="s">
        <v>1084</v>
      </c>
      <c r="B92" s="5" t="s">
        <v>199</v>
      </c>
      <c r="C92" s="5" t="s">
        <v>167</v>
      </c>
      <c r="D92" s="5" t="s">
        <v>1085</v>
      </c>
      <c r="E92" s="5" t="s">
        <v>1086</v>
      </c>
      <c r="F92" s="5" t="s">
        <v>1087</v>
      </c>
      <c r="G92" s="5" t="s">
        <v>1088</v>
      </c>
      <c r="H92" s="5" t="s">
        <v>1089</v>
      </c>
      <c r="I92" s="5" t="s">
        <v>158</v>
      </c>
      <c r="J92" s="5" t="s">
        <v>263</v>
      </c>
      <c r="K92" s="5" t="s">
        <v>1090</v>
      </c>
      <c r="L92" s="5" t="s">
        <v>32</v>
      </c>
      <c r="M92" s="5" t="s">
        <v>265</v>
      </c>
      <c r="N92" s="5" t="s">
        <v>96</v>
      </c>
      <c r="O92" s="5"/>
      <c r="P92" s="5"/>
    </row>
    <row r="93" customFormat="false" ht="27.75" hidden="false" customHeight="true" outlineLevel="0" collapsed="false">
      <c r="A93" s="5" t="s">
        <v>1091</v>
      </c>
      <c r="B93" s="5" t="s">
        <v>199</v>
      </c>
      <c r="C93" s="5" t="s">
        <v>167</v>
      </c>
      <c r="D93" s="5" t="s">
        <v>1092</v>
      </c>
      <c r="E93" s="5" t="s">
        <v>1093</v>
      </c>
      <c r="F93" s="5" t="s">
        <v>368</v>
      </c>
      <c r="G93" s="5" t="s">
        <v>1094</v>
      </c>
      <c r="H93" s="5" t="s">
        <v>1095</v>
      </c>
      <c r="I93" s="5" t="s">
        <v>158</v>
      </c>
      <c r="J93" s="5" t="s">
        <v>263</v>
      </c>
      <c r="K93" s="5" t="s">
        <v>1096</v>
      </c>
      <c r="L93" s="5" t="s">
        <v>32</v>
      </c>
      <c r="M93" s="5" t="s">
        <v>265</v>
      </c>
      <c r="N93" s="5" t="s">
        <v>96</v>
      </c>
      <c r="O93" s="5"/>
      <c r="P93" s="5"/>
    </row>
    <row r="94" customFormat="false" ht="27.75" hidden="false" customHeight="true" outlineLevel="0" collapsed="false">
      <c r="A94" s="5" t="s">
        <v>1097</v>
      </c>
      <c r="B94" s="5" t="s">
        <v>199</v>
      </c>
      <c r="C94" s="5" t="s">
        <v>167</v>
      </c>
      <c r="D94" s="5" t="s">
        <v>1098</v>
      </c>
      <c r="E94" s="5" t="s">
        <v>1086</v>
      </c>
      <c r="F94" s="5" t="s">
        <v>1099</v>
      </c>
      <c r="G94" s="5" t="s">
        <v>1100</v>
      </c>
      <c r="H94" s="5" t="s">
        <v>1101</v>
      </c>
      <c r="I94" s="5" t="s">
        <v>158</v>
      </c>
      <c r="J94" s="5" t="s">
        <v>263</v>
      </c>
      <c r="K94" s="5" t="s">
        <v>1102</v>
      </c>
      <c r="L94" s="5" t="s">
        <v>32</v>
      </c>
      <c r="M94" s="5" t="s">
        <v>265</v>
      </c>
      <c r="N94" s="5" t="s">
        <v>96</v>
      </c>
      <c r="O94" s="5"/>
      <c r="P94" s="5"/>
    </row>
    <row r="95" customFormat="false" ht="27.75" hidden="false" customHeight="true" outlineLevel="0" collapsed="false">
      <c r="A95" s="5" t="s">
        <v>1103</v>
      </c>
      <c r="B95" s="5" t="s">
        <v>199</v>
      </c>
      <c r="C95" s="5" t="s">
        <v>167</v>
      </c>
      <c r="D95" s="5" t="s">
        <v>1104</v>
      </c>
      <c r="E95" s="5" t="s">
        <v>1086</v>
      </c>
      <c r="F95" s="5" t="s">
        <v>368</v>
      </c>
      <c r="G95" s="5" t="s">
        <v>1105</v>
      </c>
      <c r="H95" s="5" t="s">
        <v>1106</v>
      </c>
      <c r="I95" s="5" t="s">
        <v>157</v>
      </c>
      <c r="J95" s="5" t="s">
        <v>263</v>
      </c>
      <c r="K95" s="5" t="s">
        <v>1107</v>
      </c>
      <c r="L95" s="5" t="s">
        <v>32</v>
      </c>
      <c r="M95" s="5" t="s">
        <v>265</v>
      </c>
      <c r="N95" s="5" t="s">
        <v>28</v>
      </c>
      <c r="O95" s="5"/>
      <c r="P95" s="5"/>
    </row>
    <row r="96" customFormat="false" ht="41.25" hidden="false" customHeight="true" outlineLevel="0" collapsed="false">
      <c r="A96" s="5" t="s">
        <v>1108</v>
      </c>
      <c r="B96" s="5" t="s">
        <v>199</v>
      </c>
      <c r="C96" s="5" t="s">
        <v>167</v>
      </c>
      <c r="D96" s="5" t="s">
        <v>1109</v>
      </c>
      <c r="E96" s="5" t="s">
        <v>1110</v>
      </c>
      <c r="F96" s="5" t="s">
        <v>368</v>
      </c>
      <c r="G96" s="5" t="s">
        <v>1111</v>
      </c>
      <c r="H96" s="5" t="s">
        <v>1112</v>
      </c>
      <c r="I96" s="5" t="s">
        <v>157</v>
      </c>
      <c r="J96" s="5" t="s">
        <v>263</v>
      </c>
      <c r="K96" s="5" t="s">
        <v>1113</v>
      </c>
      <c r="L96" s="5" t="s">
        <v>32</v>
      </c>
      <c r="M96" s="5" t="s">
        <v>265</v>
      </c>
      <c r="N96" s="5" t="s">
        <v>28</v>
      </c>
      <c r="O96" s="5"/>
      <c r="P96" s="5"/>
    </row>
    <row r="97" customFormat="false" ht="15" hidden="false" customHeight="true" outlineLevel="0" collapsed="false">
      <c r="A97" s="5" t="s">
        <v>1114</v>
      </c>
      <c r="B97" s="5" t="s">
        <v>199</v>
      </c>
      <c r="C97" s="5" t="s">
        <v>167</v>
      </c>
      <c r="D97" s="5" t="s">
        <v>1115</v>
      </c>
      <c r="E97" s="5" t="s">
        <v>1116</v>
      </c>
      <c r="F97" s="5" t="s">
        <v>368</v>
      </c>
      <c r="G97" s="5" t="s">
        <v>1117</v>
      </c>
      <c r="H97" s="5" t="s">
        <v>1118</v>
      </c>
      <c r="I97" s="5" t="s">
        <v>157</v>
      </c>
      <c r="J97" s="5" t="s">
        <v>311</v>
      </c>
      <c r="K97" s="5" t="s">
        <v>1119</v>
      </c>
      <c r="L97" s="5" t="s">
        <v>32</v>
      </c>
      <c r="M97" s="5" t="s">
        <v>265</v>
      </c>
      <c r="N97" s="5" t="s">
        <v>28</v>
      </c>
      <c r="O97" s="5"/>
      <c r="P97" s="5"/>
    </row>
    <row r="98" customFormat="false" ht="27.75" hidden="false" customHeight="true" outlineLevel="0" collapsed="false">
      <c r="A98" s="5" t="s">
        <v>1120</v>
      </c>
      <c r="B98" s="5" t="s">
        <v>199</v>
      </c>
      <c r="C98" s="5" t="s">
        <v>167</v>
      </c>
      <c r="D98" s="5" t="s">
        <v>1121</v>
      </c>
      <c r="E98" s="5" t="s">
        <v>1122</v>
      </c>
      <c r="F98" s="5" t="s">
        <v>368</v>
      </c>
      <c r="G98" s="5" t="s">
        <v>1123</v>
      </c>
      <c r="H98" s="5" t="s">
        <v>1124</v>
      </c>
      <c r="I98" s="5" t="s">
        <v>158</v>
      </c>
      <c r="J98" s="5" t="s">
        <v>263</v>
      </c>
      <c r="K98" s="5" t="s">
        <v>1125</v>
      </c>
      <c r="L98" s="5" t="s">
        <v>32</v>
      </c>
      <c r="M98" s="5" t="s">
        <v>265</v>
      </c>
      <c r="N98" s="5" t="s">
        <v>96</v>
      </c>
      <c r="O98" s="5"/>
      <c r="P98" s="5"/>
    </row>
    <row r="99" customFormat="false" ht="41.25" hidden="false" customHeight="true" outlineLevel="0" collapsed="false">
      <c r="A99" s="5" t="s">
        <v>1126</v>
      </c>
      <c r="B99" s="5" t="s">
        <v>200</v>
      </c>
      <c r="C99" s="5" t="s">
        <v>167</v>
      </c>
      <c r="D99" s="5" t="s">
        <v>1127</v>
      </c>
      <c r="E99" s="5" t="s">
        <v>1128</v>
      </c>
      <c r="F99" s="5" t="s">
        <v>368</v>
      </c>
      <c r="G99" s="5" t="s">
        <v>1129</v>
      </c>
      <c r="H99" s="5" t="s">
        <v>1130</v>
      </c>
      <c r="I99" s="5" t="s">
        <v>157</v>
      </c>
      <c r="J99" s="5" t="s">
        <v>263</v>
      </c>
      <c r="K99" s="5" t="s">
        <v>1131</v>
      </c>
      <c r="L99" s="5" t="s">
        <v>32</v>
      </c>
      <c r="M99" s="5" t="s">
        <v>265</v>
      </c>
      <c r="N99" s="5" t="s">
        <v>28</v>
      </c>
      <c r="O99" s="5"/>
      <c r="P99" s="5"/>
    </row>
    <row r="100" customFormat="false" ht="27.75" hidden="false" customHeight="true" outlineLevel="0" collapsed="false">
      <c r="A100" s="5" t="s">
        <v>1132</v>
      </c>
      <c r="B100" s="5" t="s">
        <v>200</v>
      </c>
      <c r="C100" s="5" t="s">
        <v>167</v>
      </c>
      <c r="D100" s="5" t="s">
        <v>1133</v>
      </c>
      <c r="E100" s="5" t="s">
        <v>1134</v>
      </c>
      <c r="F100" s="5" t="s">
        <v>1135</v>
      </c>
      <c r="G100" s="5" t="s">
        <v>1136</v>
      </c>
      <c r="H100" s="5" t="s">
        <v>1137</v>
      </c>
      <c r="I100" s="5" t="s">
        <v>157</v>
      </c>
      <c r="J100" s="5" t="s">
        <v>263</v>
      </c>
      <c r="K100" s="5" t="s">
        <v>1138</v>
      </c>
      <c r="L100" s="5" t="s">
        <v>32</v>
      </c>
      <c r="M100" s="5" t="s">
        <v>265</v>
      </c>
      <c r="N100" s="5" t="s">
        <v>28</v>
      </c>
      <c r="O100" s="5"/>
      <c r="P100" s="5"/>
    </row>
    <row r="101" customFormat="false" ht="27.75" hidden="false" customHeight="true" outlineLevel="0" collapsed="false">
      <c r="A101" s="5" t="s">
        <v>1139</v>
      </c>
      <c r="B101" s="5" t="s">
        <v>200</v>
      </c>
      <c r="C101" s="5" t="s">
        <v>167</v>
      </c>
      <c r="D101" s="5" t="s">
        <v>1140</v>
      </c>
      <c r="E101" s="5" t="s">
        <v>1141</v>
      </c>
      <c r="F101" s="5" t="s">
        <v>1142</v>
      </c>
      <c r="G101" s="5" t="s">
        <v>1143</v>
      </c>
      <c r="H101" s="5" t="s">
        <v>1144</v>
      </c>
      <c r="I101" s="5" t="s">
        <v>157</v>
      </c>
      <c r="J101" s="5" t="s">
        <v>263</v>
      </c>
      <c r="K101" s="5" t="s">
        <v>1145</v>
      </c>
      <c r="L101" s="5" t="s">
        <v>32</v>
      </c>
      <c r="M101" s="5" t="s">
        <v>265</v>
      </c>
      <c r="N101" s="5" t="s">
        <v>28</v>
      </c>
      <c r="O101" s="5"/>
      <c r="P101" s="5"/>
    </row>
    <row r="102" customFormat="false" ht="27.75" hidden="false" customHeight="true" outlineLevel="0" collapsed="false">
      <c r="A102" s="5" t="s">
        <v>1146</v>
      </c>
      <c r="B102" s="5" t="s">
        <v>200</v>
      </c>
      <c r="C102" s="5" t="s">
        <v>167</v>
      </c>
      <c r="D102" s="5" t="s">
        <v>1147</v>
      </c>
      <c r="E102" s="5" t="s">
        <v>1148</v>
      </c>
      <c r="F102" s="5" t="s">
        <v>368</v>
      </c>
      <c r="G102" s="5" t="s">
        <v>1149</v>
      </c>
      <c r="H102" s="5" t="s">
        <v>1150</v>
      </c>
      <c r="I102" s="5" t="s">
        <v>158</v>
      </c>
      <c r="J102" s="5" t="s">
        <v>263</v>
      </c>
      <c r="K102" s="5" t="s">
        <v>1151</v>
      </c>
      <c r="L102" s="5" t="s">
        <v>32</v>
      </c>
      <c r="M102" s="5" t="s">
        <v>265</v>
      </c>
      <c r="N102" s="5" t="s">
        <v>96</v>
      </c>
      <c r="O102" s="5"/>
      <c r="P102" s="5"/>
    </row>
    <row r="103" customFormat="false" ht="27.75" hidden="false" customHeight="true" outlineLevel="0" collapsed="false">
      <c r="A103" s="5" t="s">
        <v>1152</v>
      </c>
      <c r="B103" s="5" t="s">
        <v>200</v>
      </c>
      <c r="C103" s="5" t="s">
        <v>167</v>
      </c>
      <c r="D103" s="5" t="s">
        <v>1153</v>
      </c>
      <c r="E103" s="5" t="s">
        <v>1141</v>
      </c>
      <c r="F103" s="5" t="s">
        <v>1154</v>
      </c>
      <c r="G103" s="5" t="s">
        <v>1155</v>
      </c>
      <c r="H103" s="5" t="s">
        <v>1156</v>
      </c>
      <c r="I103" s="5" t="s">
        <v>158</v>
      </c>
      <c r="J103" s="5" t="s">
        <v>311</v>
      </c>
      <c r="K103" s="5" t="s">
        <v>1157</v>
      </c>
      <c r="L103" s="5" t="s">
        <v>32</v>
      </c>
      <c r="M103" s="5" t="s">
        <v>265</v>
      </c>
      <c r="N103" s="5" t="s">
        <v>96</v>
      </c>
      <c r="O103" s="5"/>
      <c r="P103" s="5"/>
    </row>
    <row r="104" customFormat="false" ht="15" hidden="false" customHeight="true" outlineLevel="0" collapsed="false">
      <c r="A104" s="5" t="s">
        <v>1158</v>
      </c>
      <c r="B104" s="5" t="s">
        <v>200</v>
      </c>
      <c r="C104" s="5" t="s">
        <v>167</v>
      </c>
      <c r="D104" s="5" t="s">
        <v>1159</v>
      </c>
      <c r="E104" s="5" t="s">
        <v>1141</v>
      </c>
      <c r="F104" s="5" t="s">
        <v>1160</v>
      </c>
      <c r="G104" s="5" t="s">
        <v>1161</v>
      </c>
      <c r="H104" s="5" t="s">
        <v>1162</v>
      </c>
      <c r="I104" s="5" t="s">
        <v>158</v>
      </c>
      <c r="J104" s="5" t="s">
        <v>286</v>
      </c>
      <c r="K104" s="5" t="s">
        <v>1163</v>
      </c>
      <c r="L104" s="5" t="s">
        <v>32</v>
      </c>
      <c r="M104" s="5" t="s">
        <v>265</v>
      </c>
      <c r="N104" s="5" t="s">
        <v>96</v>
      </c>
      <c r="O104" s="5"/>
      <c r="P104" s="5"/>
    </row>
    <row r="105" customFormat="false" ht="27.75" hidden="false" customHeight="true" outlineLevel="0" collapsed="false">
      <c r="A105" s="5" t="s">
        <v>1164</v>
      </c>
      <c r="B105" s="5" t="s">
        <v>200</v>
      </c>
      <c r="C105" s="5" t="s">
        <v>167</v>
      </c>
      <c r="D105" s="5" t="s">
        <v>1165</v>
      </c>
      <c r="E105" s="5" t="s">
        <v>1166</v>
      </c>
      <c r="F105" s="5" t="s">
        <v>368</v>
      </c>
      <c r="G105" s="5" t="s">
        <v>1167</v>
      </c>
      <c r="H105" s="5" t="s">
        <v>1168</v>
      </c>
      <c r="I105" s="5" t="s">
        <v>157</v>
      </c>
      <c r="J105" s="5" t="s">
        <v>253</v>
      </c>
      <c r="K105" s="5" t="s">
        <v>1169</v>
      </c>
      <c r="L105" s="5" t="s">
        <v>32</v>
      </c>
      <c r="M105" s="5" t="s">
        <v>265</v>
      </c>
      <c r="N105" s="5" t="s">
        <v>28</v>
      </c>
      <c r="O105" s="5"/>
      <c r="P105" s="5"/>
    </row>
    <row r="106" customFormat="false" ht="68.25" hidden="false" customHeight="true" outlineLevel="0" collapsed="false">
      <c r="A106" s="5" t="s">
        <v>1170</v>
      </c>
      <c r="B106" s="5" t="s">
        <v>200</v>
      </c>
      <c r="C106" s="5" t="s">
        <v>167</v>
      </c>
      <c r="D106" s="5" t="s">
        <v>1171</v>
      </c>
      <c r="E106" s="5" t="s">
        <v>1172</v>
      </c>
      <c r="F106" s="5" t="s">
        <v>1173</v>
      </c>
      <c r="G106" s="5" t="s">
        <v>1174</v>
      </c>
      <c r="H106" s="5" t="s">
        <v>1175</v>
      </c>
      <c r="I106" s="5" t="s">
        <v>156</v>
      </c>
      <c r="J106" s="5" t="s">
        <v>278</v>
      </c>
      <c r="K106" s="5" t="s">
        <v>1176</v>
      </c>
      <c r="L106" s="5" t="s">
        <v>32</v>
      </c>
      <c r="M106" s="5" t="s">
        <v>265</v>
      </c>
      <c r="N106" s="5" t="s">
        <v>28</v>
      </c>
      <c r="O106" s="5"/>
      <c r="P106" s="5"/>
    </row>
    <row r="107" customFormat="false" ht="27.75" hidden="false" customHeight="true" outlineLevel="0" collapsed="false">
      <c r="A107" s="5" t="s">
        <v>1177</v>
      </c>
      <c r="B107" s="5" t="s">
        <v>200</v>
      </c>
      <c r="C107" s="5" t="s">
        <v>167</v>
      </c>
      <c r="D107" s="5" t="s">
        <v>1178</v>
      </c>
      <c r="E107" s="5" t="s">
        <v>1141</v>
      </c>
      <c r="F107" s="5" t="s">
        <v>1179</v>
      </c>
      <c r="G107" s="5" t="s">
        <v>1180</v>
      </c>
      <c r="H107" s="5" t="s">
        <v>1181</v>
      </c>
      <c r="I107" s="5" t="s">
        <v>157</v>
      </c>
      <c r="J107" s="5" t="s">
        <v>342</v>
      </c>
      <c r="K107" s="5" t="s">
        <v>1182</v>
      </c>
      <c r="L107" s="5" t="s">
        <v>32</v>
      </c>
      <c r="M107" s="5" t="s">
        <v>265</v>
      </c>
      <c r="N107" s="5" t="s">
        <v>28</v>
      </c>
      <c r="O107" s="5"/>
      <c r="P107" s="5"/>
    </row>
    <row r="108" customFormat="false" ht="54.75" hidden="false" customHeight="true" outlineLevel="0" collapsed="false">
      <c r="A108" s="5" t="s">
        <v>1183</v>
      </c>
      <c r="B108" s="5" t="s">
        <v>201</v>
      </c>
      <c r="C108" s="5" t="s">
        <v>167</v>
      </c>
      <c r="D108" s="5" t="s">
        <v>1184</v>
      </c>
      <c r="E108" s="5" t="s">
        <v>1185</v>
      </c>
      <c r="F108" s="5" t="s">
        <v>1186</v>
      </c>
      <c r="G108" s="5" t="s">
        <v>1187</v>
      </c>
      <c r="H108" s="5" t="s">
        <v>1188</v>
      </c>
      <c r="I108" s="5" t="s">
        <v>157</v>
      </c>
      <c r="J108" s="5" t="s">
        <v>263</v>
      </c>
      <c r="K108" s="5" t="s">
        <v>1189</v>
      </c>
      <c r="L108" s="5" t="s">
        <v>32</v>
      </c>
      <c r="M108" s="5" t="s">
        <v>265</v>
      </c>
      <c r="N108" s="5" t="s">
        <v>28</v>
      </c>
      <c r="O108" s="5"/>
      <c r="P108" s="5"/>
    </row>
    <row r="109" customFormat="false" ht="41.25" hidden="false" customHeight="true" outlineLevel="0" collapsed="false">
      <c r="A109" s="5" t="s">
        <v>1190</v>
      </c>
      <c r="B109" s="5" t="s">
        <v>201</v>
      </c>
      <c r="C109" s="5" t="s">
        <v>167</v>
      </c>
      <c r="D109" s="5" t="s">
        <v>1191</v>
      </c>
      <c r="E109" s="5" t="s">
        <v>1192</v>
      </c>
      <c r="F109" s="5" t="s">
        <v>1193</v>
      </c>
      <c r="G109" s="5" t="s">
        <v>1194</v>
      </c>
      <c r="H109" s="5" t="s">
        <v>1195</v>
      </c>
      <c r="I109" s="5" t="s">
        <v>157</v>
      </c>
      <c r="J109" s="5" t="s">
        <v>278</v>
      </c>
      <c r="K109" s="5" t="s">
        <v>1196</v>
      </c>
      <c r="L109" s="5" t="s">
        <v>32</v>
      </c>
      <c r="M109" s="5" t="s">
        <v>265</v>
      </c>
      <c r="N109" s="5" t="s">
        <v>28</v>
      </c>
      <c r="O109" s="5"/>
      <c r="P109" s="5"/>
    </row>
    <row r="110" customFormat="false" ht="15" hidden="false" customHeight="true" outlineLevel="0" collapsed="false">
      <c r="A110" s="5" t="s">
        <v>1197</v>
      </c>
      <c r="B110" s="5" t="s">
        <v>201</v>
      </c>
      <c r="C110" s="5" t="s">
        <v>167</v>
      </c>
      <c r="D110" s="5" t="s">
        <v>1198</v>
      </c>
      <c r="E110" s="5" t="s">
        <v>1199</v>
      </c>
      <c r="F110" s="5" t="s">
        <v>1200</v>
      </c>
      <c r="G110" s="5" t="s">
        <v>1201</v>
      </c>
      <c r="H110" s="5" t="s">
        <v>1202</v>
      </c>
      <c r="I110" s="5" t="s">
        <v>158</v>
      </c>
      <c r="J110" s="5" t="s">
        <v>286</v>
      </c>
      <c r="K110" s="5" t="s">
        <v>1203</v>
      </c>
      <c r="L110" s="5" t="s">
        <v>32</v>
      </c>
      <c r="M110" s="5" t="s">
        <v>265</v>
      </c>
      <c r="N110" s="5" t="s">
        <v>96</v>
      </c>
      <c r="O110" s="5"/>
      <c r="P110" s="5"/>
    </row>
    <row r="111" customFormat="false" ht="27.75" hidden="false" customHeight="true" outlineLevel="0" collapsed="false">
      <c r="A111" s="5" t="s">
        <v>1204</v>
      </c>
      <c r="B111" s="5" t="s">
        <v>201</v>
      </c>
      <c r="C111" s="5" t="s">
        <v>167</v>
      </c>
      <c r="D111" s="5" t="s">
        <v>1205</v>
      </c>
      <c r="E111" s="5" t="s">
        <v>1199</v>
      </c>
      <c r="F111" s="5" t="s">
        <v>1206</v>
      </c>
      <c r="G111" s="5" t="s">
        <v>1207</v>
      </c>
      <c r="H111" s="5" t="s">
        <v>1208</v>
      </c>
      <c r="I111" s="5" t="s">
        <v>158</v>
      </c>
      <c r="J111" s="5" t="s">
        <v>311</v>
      </c>
      <c r="K111" s="5" t="s">
        <v>1209</v>
      </c>
      <c r="L111" s="5" t="s">
        <v>32</v>
      </c>
      <c r="M111" s="5" t="s">
        <v>265</v>
      </c>
      <c r="N111" s="5" t="s">
        <v>96</v>
      </c>
      <c r="O111" s="5"/>
      <c r="P111" s="5"/>
    </row>
    <row r="112" customFormat="false" ht="15" hidden="false" customHeight="true" outlineLevel="0" collapsed="false">
      <c r="A112" s="5" t="s">
        <v>1210</v>
      </c>
      <c r="B112" s="5" t="s">
        <v>201</v>
      </c>
      <c r="C112" s="5" t="s">
        <v>167</v>
      </c>
      <c r="D112" s="5" t="s">
        <v>1211</v>
      </c>
      <c r="E112" s="5" t="s">
        <v>1199</v>
      </c>
      <c r="F112" s="5" t="s">
        <v>1212</v>
      </c>
      <c r="G112" s="5" t="s">
        <v>1194</v>
      </c>
      <c r="H112" s="5" t="s">
        <v>1213</v>
      </c>
      <c r="I112" s="5" t="s">
        <v>158</v>
      </c>
      <c r="J112" s="5" t="s">
        <v>286</v>
      </c>
      <c r="K112" s="5" t="s">
        <v>1214</v>
      </c>
      <c r="L112" s="5" t="s">
        <v>32</v>
      </c>
      <c r="M112" s="5" t="s">
        <v>265</v>
      </c>
      <c r="N112" s="5" t="s">
        <v>96</v>
      </c>
      <c r="O112" s="5"/>
      <c r="P112" s="5"/>
    </row>
    <row r="113" customFormat="false" ht="41.25" hidden="false" customHeight="true" outlineLevel="0" collapsed="false">
      <c r="A113" s="5" t="s">
        <v>1215</v>
      </c>
      <c r="B113" s="5" t="s">
        <v>201</v>
      </c>
      <c r="C113" s="5" t="s">
        <v>167</v>
      </c>
      <c r="D113" s="5" t="s">
        <v>1216</v>
      </c>
      <c r="E113" s="5" t="s">
        <v>1217</v>
      </c>
      <c r="F113" s="5" t="s">
        <v>1218</v>
      </c>
      <c r="G113" s="5" t="s">
        <v>1219</v>
      </c>
      <c r="H113" s="5" t="s">
        <v>1220</v>
      </c>
      <c r="I113" s="5" t="s">
        <v>157</v>
      </c>
      <c r="J113" s="5" t="s">
        <v>263</v>
      </c>
      <c r="K113" s="5" t="s">
        <v>1221</v>
      </c>
      <c r="L113" s="5" t="s">
        <v>32</v>
      </c>
      <c r="M113" s="5" t="s">
        <v>265</v>
      </c>
      <c r="N113" s="5" t="s">
        <v>28</v>
      </c>
      <c r="O113" s="5"/>
      <c r="P113" s="5"/>
    </row>
    <row r="114" customFormat="false" ht="27.75" hidden="false" customHeight="true" outlineLevel="0" collapsed="false">
      <c r="A114" s="5" t="s">
        <v>1222</v>
      </c>
      <c r="B114" s="5" t="s">
        <v>201</v>
      </c>
      <c r="C114" s="5" t="s">
        <v>167</v>
      </c>
      <c r="D114" s="5" t="s">
        <v>1223</v>
      </c>
      <c r="E114" s="5" t="s">
        <v>1224</v>
      </c>
      <c r="F114" s="5" t="s">
        <v>368</v>
      </c>
      <c r="G114" s="5" t="s">
        <v>1225</v>
      </c>
      <c r="H114" s="5" t="s">
        <v>1226</v>
      </c>
      <c r="I114" s="5" t="s">
        <v>157</v>
      </c>
      <c r="J114" s="5" t="s">
        <v>263</v>
      </c>
      <c r="K114" s="5" t="s">
        <v>1227</v>
      </c>
      <c r="L114" s="5" t="s">
        <v>32</v>
      </c>
      <c r="M114" s="5" t="s">
        <v>265</v>
      </c>
      <c r="N114" s="5" t="s">
        <v>28</v>
      </c>
      <c r="O114" s="5"/>
      <c r="P114" s="5"/>
    </row>
    <row r="115" customFormat="false" ht="27.75" hidden="false" customHeight="true" outlineLevel="0" collapsed="false">
      <c r="A115" s="5" t="s">
        <v>1228</v>
      </c>
      <c r="B115" s="5" t="s">
        <v>201</v>
      </c>
      <c r="C115" s="5" t="s">
        <v>167</v>
      </c>
      <c r="D115" s="5" t="s">
        <v>1229</v>
      </c>
      <c r="E115" s="5" t="s">
        <v>1230</v>
      </c>
      <c r="F115" s="5" t="s">
        <v>368</v>
      </c>
      <c r="G115" s="5" t="s">
        <v>1231</v>
      </c>
      <c r="H115" s="5" t="s">
        <v>1232</v>
      </c>
      <c r="I115" s="5" t="s">
        <v>158</v>
      </c>
      <c r="J115" s="5" t="s">
        <v>263</v>
      </c>
      <c r="K115" s="5" t="s">
        <v>1233</v>
      </c>
      <c r="L115" s="5" t="s">
        <v>32</v>
      </c>
      <c r="M115" s="5" t="s">
        <v>265</v>
      </c>
      <c r="N115" s="5" t="s">
        <v>96</v>
      </c>
      <c r="O115" s="5"/>
      <c r="P115" s="5"/>
    </row>
    <row r="116" customFormat="false" ht="27.75" hidden="false" customHeight="true" outlineLevel="0" collapsed="false">
      <c r="A116" s="5" t="s">
        <v>1234</v>
      </c>
      <c r="B116" s="5" t="s">
        <v>201</v>
      </c>
      <c r="C116" s="5" t="s">
        <v>167</v>
      </c>
      <c r="D116" s="5" t="s">
        <v>1235</v>
      </c>
      <c r="E116" s="5" t="s">
        <v>1236</v>
      </c>
      <c r="F116" s="5" t="s">
        <v>368</v>
      </c>
      <c r="G116" s="5" t="s">
        <v>1237</v>
      </c>
      <c r="H116" s="5" t="s">
        <v>1238</v>
      </c>
      <c r="I116" s="5" t="s">
        <v>158</v>
      </c>
      <c r="J116" s="5" t="s">
        <v>263</v>
      </c>
      <c r="K116" s="5" t="s">
        <v>1239</v>
      </c>
      <c r="L116" s="5" t="s">
        <v>32</v>
      </c>
      <c r="M116" s="5" t="s">
        <v>265</v>
      </c>
      <c r="N116" s="5" t="s">
        <v>96</v>
      </c>
      <c r="O116" s="5"/>
      <c r="P116" s="5"/>
    </row>
    <row r="117" customFormat="false" ht="68.25" hidden="false" customHeight="true" outlineLevel="0" collapsed="false">
      <c r="A117" s="5" t="s">
        <v>1240</v>
      </c>
      <c r="B117" s="5" t="s">
        <v>202</v>
      </c>
      <c r="C117" s="5" t="s">
        <v>167</v>
      </c>
      <c r="D117" s="5" t="s">
        <v>1241</v>
      </c>
      <c r="E117" s="5" t="s">
        <v>1242</v>
      </c>
      <c r="F117" s="5" t="s">
        <v>368</v>
      </c>
      <c r="G117" s="5" t="s">
        <v>1243</v>
      </c>
      <c r="H117" s="5" t="s">
        <v>1244</v>
      </c>
      <c r="I117" s="5" t="s">
        <v>156</v>
      </c>
      <c r="J117" s="5" t="s">
        <v>263</v>
      </c>
      <c r="K117" s="5" t="s">
        <v>1245</v>
      </c>
      <c r="L117" s="5" t="s">
        <v>32</v>
      </c>
      <c r="M117" s="5" t="s">
        <v>265</v>
      </c>
      <c r="N117" s="5" t="s">
        <v>28</v>
      </c>
      <c r="O117" s="5"/>
      <c r="P117" s="5"/>
    </row>
    <row r="118" customFormat="false" ht="41.25" hidden="false" customHeight="true" outlineLevel="0" collapsed="false">
      <c r="A118" s="5" t="s">
        <v>1246</v>
      </c>
      <c r="B118" s="5" t="s">
        <v>202</v>
      </c>
      <c r="C118" s="5" t="s">
        <v>167</v>
      </c>
      <c r="D118" s="5" t="s">
        <v>1247</v>
      </c>
      <c r="E118" s="5" t="s">
        <v>1248</v>
      </c>
      <c r="F118" s="5" t="s">
        <v>368</v>
      </c>
      <c r="G118" s="5" t="s">
        <v>1249</v>
      </c>
      <c r="H118" s="5" t="s">
        <v>1250</v>
      </c>
      <c r="I118" s="5" t="s">
        <v>157</v>
      </c>
      <c r="J118" s="5" t="s">
        <v>263</v>
      </c>
      <c r="K118" s="5" t="s">
        <v>1251</v>
      </c>
      <c r="L118" s="5" t="s">
        <v>32</v>
      </c>
      <c r="M118" s="5" t="s">
        <v>265</v>
      </c>
      <c r="N118" s="5" t="s">
        <v>28</v>
      </c>
      <c r="O118" s="5"/>
      <c r="P118" s="5"/>
    </row>
    <row r="119" customFormat="false" ht="41.25" hidden="false" customHeight="true" outlineLevel="0" collapsed="false">
      <c r="A119" s="5" t="s">
        <v>1252</v>
      </c>
      <c r="B119" s="5" t="s">
        <v>202</v>
      </c>
      <c r="C119" s="5" t="s">
        <v>167</v>
      </c>
      <c r="D119" s="5" t="s">
        <v>1253</v>
      </c>
      <c r="E119" s="5" t="s">
        <v>1254</v>
      </c>
      <c r="F119" s="5" t="s">
        <v>368</v>
      </c>
      <c r="G119" s="5" t="s">
        <v>1255</v>
      </c>
      <c r="H119" s="5" t="s">
        <v>1256</v>
      </c>
      <c r="I119" s="5" t="s">
        <v>157</v>
      </c>
      <c r="J119" s="5" t="s">
        <v>286</v>
      </c>
      <c r="K119" s="5" t="s">
        <v>1257</v>
      </c>
      <c r="L119" s="5" t="s">
        <v>32</v>
      </c>
      <c r="M119" s="5" t="s">
        <v>265</v>
      </c>
      <c r="N119" s="5" t="s">
        <v>28</v>
      </c>
      <c r="O119" s="5" t="s">
        <v>1258</v>
      </c>
      <c r="P119" s="5"/>
    </row>
    <row r="120" customFormat="false" ht="41.25" hidden="false" customHeight="true" outlineLevel="0" collapsed="false">
      <c r="A120" s="5" t="s">
        <v>1259</v>
      </c>
      <c r="B120" s="5" t="s">
        <v>202</v>
      </c>
      <c r="C120" s="5" t="s">
        <v>167</v>
      </c>
      <c r="D120" s="5" t="s">
        <v>1260</v>
      </c>
      <c r="E120" s="5" t="s">
        <v>1261</v>
      </c>
      <c r="F120" s="5" t="s">
        <v>368</v>
      </c>
      <c r="G120" s="5" t="s">
        <v>1262</v>
      </c>
      <c r="H120" s="5" t="s">
        <v>1263</v>
      </c>
      <c r="I120" s="5" t="s">
        <v>157</v>
      </c>
      <c r="J120" s="5" t="s">
        <v>263</v>
      </c>
      <c r="K120" s="5" t="s">
        <v>1264</v>
      </c>
      <c r="L120" s="5" t="s">
        <v>32</v>
      </c>
      <c r="M120" s="5" t="s">
        <v>265</v>
      </c>
      <c r="N120" s="5" t="s">
        <v>28</v>
      </c>
      <c r="O120" s="5"/>
      <c r="P120" s="5"/>
    </row>
    <row r="121" customFormat="false" ht="15" hidden="false" customHeight="true" outlineLevel="0" collapsed="false">
      <c r="A121" s="5" t="s">
        <v>1265</v>
      </c>
      <c r="B121" s="5" t="s">
        <v>202</v>
      </c>
      <c r="C121" s="5" t="s">
        <v>167</v>
      </c>
      <c r="D121" s="5" t="s">
        <v>1266</v>
      </c>
      <c r="E121" s="5" t="s">
        <v>1267</v>
      </c>
      <c r="F121" s="5" t="s">
        <v>368</v>
      </c>
      <c r="G121" s="5" t="s">
        <v>1268</v>
      </c>
      <c r="H121" s="5" t="s">
        <v>1269</v>
      </c>
      <c r="I121" s="5" t="s">
        <v>157</v>
      </c>
      <c r="J121" s="5" t="s">
        <v>311</v>
      </c>
      <c r="K121" s="5" t="s">
        <v>1270</v>
      </c>
      <c r="L121" s="5" t="s">
        <v>32</v>
      </c>
      <c r="M121" s="5" t="s">
        <v>265</v>
      </c>
      <c r="N121" s="5" t="s">
        <v>28</v>
      </c>
      <c r="O121" s="5"/>
      <c r="P121" s="5"/>
    </row>
    <row r="122" customFormat="false" ht="27.75" hidden="false" customHeight="true" outlineLevel="0" collapsed="false">
      <c r="A122" s="5" t="s">
        <v>1271</v>
      </c>
      <c r="B122" s="5" t="s">
        <v>202</v>
      </c>
      <c r="C122" s="5" t="s">
        <v>167</v>
      </c>
      <c r="D122" s="5" t="s">
        <v>1272</v>
      </c>
      <c r="E122" s="5" t="s">
        <v>1273</v>
      </c>
      <c r="F122" s="5" t="s">
        <v>368</v>
      </c>
      <c r="G122" s="5" t="s">
        <v>1274</v>
      </c>
      <c r="H122" s="5" t="s">
        <v>1275</v>
      </c>
      <c r="I122" s="5" t="s">
        <v>158</v>
      </c>
      <c r="J122" s="5" t="s">
        <v>278</v>
      </c>
      <c r="K122" s="5" t="s">
        <v>1276</v>
      </c>
      <c r="L122" s="5" t="s">
        <v>32</v>
      </c>
      <c r="M122" s="5" t="s">
        <v>265</v>
      </c>
      <c r="N122" s="5" t="s">
        <v>96</v>
      </c>
      <c r="O122" s="5"/>
      <c r="P122" s="5"/>
    </row>
    <row r="123" customFormat="false" ht="27.75" hidden="false" customHeight="true" outlineLevel="0" collapsed="false">
      <c r="A123" s="5" t="s">
        <v>1277</v>
      </c>
      <c r="B123" s="5" t="s">
        <v>203</v>
      </c>
      <c r="C123" s="5" t="s">
        <v>167</v>
      </c>
      <c r="D123" s="5" t="s">
        <v>1278</v>
      </c>
      <c r="E123" s="5" t="s">
        <v>1279</v>
      </c>
      <c r="F123" s="5" t="s">
        <v>368</v>
      </c>
      <c r="G123" s="5" t="s">
        <v>1280</v>
      </c>
      <c r="H123" s="5" t="s">
        <v>1281</v>
      </c>
      <c r="I123" s="5" t="s">
        <v>157</v>
      </c>
      <c r="J123" s="5" t="s">
        <v>263</v>
      </c>
      <c r="K123" s="5" t="s">
        <v>1282</v>
      </c>
      <c r="L123" s="5" t="s">
        <v>32</v>
      </c>
      <c r="M123" s="5" t="s">
        <v>265</v>
      </c>
      <c r="N123" s="5" t="s">
        <v>28</v>
      </c>
      <c r="O123" s="5"/>
      <c r="P123" s="5"/>
    </row>
    <row r="124" customFormat="false" ht="54.75" hidden="false" customHeight="true" outlineLevel="0" collapsed="false">
      <c r="A124" s="5" t="s">
        <v>1283</v>
      </c>
      <c r="B124" s="5" t="s">
        <v>203</v>
      </c>
      <c r="C124" s="5" t="s">
        <v>167</v>
      </c>
      <c r="D124" s="5" t="s">
        <v>1284</v>
      </c>
      <c r="E124" s="5" t="s">
        <v>1285</v>
      </c>
      <c r="F124" s="5" t="s">
        <v>368</v>
      </c>
      <c r="G124" s="5" t="s">
        <v>1286</v>
      </c>
      <c r="H124" s="5" t="s">
        <v>1287</v>
      </c>
      <c r="I124" s="5" t="s">
        <v>157</v>
      </c>
      <c r="J124" s="5" t="s">
        <v>263</v>
      </c>
      <c r="K124" s="5" t="s">
        <v>1288</v>
      </c>
      <c r="L124" s="5" t="s">
        <v>32</v>
      </c>
      <c r="M124" s="5" t="s">
        <v>265</v>
      </c>
      <c r="N124" s="5" t="s">
        <v>96</v>
      </c>
      <c r="O124" s="5"/>
      <c r="P124" s="5"/>
    </row>
    <row r="125" customFormat="false" ht="41.25" hidden="false" customHeight="true" outlineLevel="0" collapsed="false">
      <c r="A125" s="5" t="s">
        <v>1289</v>
      </c>
      <c r="B125" s="5" t="s">
        <v>203</v>
      </c>
      <c r="C125" s="5" t="s">
        <v>167</v>
      </c>
      <c r="D125" s="5" t="s">
        <v>1290</v>
      </c>
      <c r="E125" s="5" t="s">
        <v>1291</v>
      </c>
      <c r="F125" s="5" t="s">
        <v>368</v>
      </c>
      <c r="G125" s="5" t="s">
        <v>1292</v>
      </c>
      <c r="H125" s="5" t="s">
        <v>1293</v>
      </c>
      <c r="I125" s="5" t="s">
        <v>157</v>
      </c>
      <c r="J125" s="5" t="s">
        <v>311</v>
      </c>
      <c r="K125" s="5" t="s">
        <v>1294</v>
      </c>
      <c r="L125" s="5" t="s">
        <v>32</v>
      </c>
      <c r="M125" s="5" t="s">
        <v>265</v>
      </c>
      <c r="N125" s="5" t="s">
        <v>96</v>
      </c>
      <c r="O125" s="5"/>
      <c r="P125" s="5"/>
    </row>
    <row r="126" customFormat="false" ht="27.75" hidden="false" customHeight="true" outlineLevel="0" collapsed="false">
      <c r="A126" s="5" t="s">
        <v>1295</v>
      </c>
      <c r="B126" s="5" t="s">
        <v>203</v>
      </c>
      <c r="C126" s="5" t="s">
        <v>167</v>
      </c>
      <c r="D126" s="5" t="s">
        <v>1296</v>
      </c>
      <c r="E126" s="5" t="s">
        <v>1297</v>
      </c>
      <c r="F126" s="5" t="s">
        <v>368</v>
      </c>
      <c r="G126" s="5" t="s">
        <v>1298</v>
      </c>
      <c r="H126" s="5" t="s">
        <v>1299</v>
      </c>
      <c r="I126" s="5" t="s">
        <v>157</v>
      </c>
      <c r="J126" s="5" t="s">
        <v>263</v>
      </c>
      <c r="K126" s="5" t="s">
        <v>1300</v>
      </c>
      <c r="L126" s="5" t="s">
        <v>32</v>
      </c>
      <c r="M126" s="5" t="s">
        <v>265</v>
      </c>
      <c r="N126" s="5" t="s">
        <v>96</v>
      </c>
      <c r="O126" s="5"/>
      <c r="P126" s="5"/>
    </row>
    <row r="127" customFormat="false" ht="41.25" hidden="false" customHeight="true" outlineLevel="0" collapsed="false">
      <c r="A127" s="5" t="s">
        <v>1301</v>
      </c>
      <c r="B127" s="5" t="s">
        <v>204</v>
      </c>
      <c r="C127" s="5" t="s">
        <v>167</v>
      </c>
      <c r="D127" s="5" t="s">
        <v>1302</v>
      </c>
      <c r="E127" s="5" t="s">
        <v>274</v>
      </c>
      <c r="F127" s="5" t="s">
        <v>368</v>
      </c>
      <c r="G127" s="5" t="s">
        <v>1303</v>
      </c>
      <c r="H127" s="5" t="s">
        <v>1304</v>
      </c>
      <c r="I127" s="5" t="s">
        <v>157</v>
      </c>
      <c r="J127" s="5" t="s">
        <v>263</v>
      </c>
      <c r="K127" s="5" t="s">
        <v>1305</v>
      </c>
      <c r="L127" s="5" t="s">
        <v>32</v>
      </c>
      <c r="M127" s="5" t="s">
        <v>265</v>
      </c>
      <c r="N127" s="5" t="s">
        <v>28</v>
      </c>
      <c r="O127" s="5"/>
      <c r="P127" s="5"/>
    </row>
    <row r="128" customFormat="false" ht="41.25" hidden="false" customHeight="true" outlineLevel="0" collapsed="false">
      <c r="A128" s="5" t="s">
        <v>1306</v>
      </c>
      <c r="B128" s="5" t="s">
        <v>204</v>
      </c>
      <c r="C128" s="5" t="s">
        <v>167</v>
      </c>
      <c r="D128" s="5" t="s">
        <v>1307</v>
      </c>
      <c r="E128" s="5" t="s">
        <v>1308</v>
      </c>
      <c r="F128" s="5" t="s">
        <v>368</v>
      </c>
      <c r="G128" s="5" t="s">
        <v>1309</v>
      </c>
      <c r="H128" s="5" t="s">
        <v>1310</v>
      </c>
      <c r="I128" s="5" t="s">
        <v>157</v>
      </c>
      <c r="J128" s="5" t="s">
        <v>278</v>
      </c>
      <c r="K128" s="5" t="s">
        <v>1311</v>
      </c>
      <c r="L128" s="5" t="s">
        <v>32</v>
      </c>
      <c r="M128" s="5" t="s">
        <v>265</v>
      </c>
      <c r="N128" s="5" t="s">
        <v>28</v>
      </c>
      <c r="O128" s="5"/>
      <c r="P128" s="5"/>
    </row>
    <row r="129" customFormat="false" ht="54.75" hidden="false" customHeight="true" outlineLevel="0" collapsed="false">
      <c r="A129" s="5" t="s">
        <v>1312</v>
      </c>
      <c r="B129" s="5" t="s">
        <v>204</v>
      </c>
      <c r="C129" s="5" t="s">
        <v>167</v>
      </c>
      <c r="D129" s="5" t="s">
        <v>1313</v>
      </c>
      <c r="E129" s="5" t="s">
        <v>1314</v>
      </c>
      <c r="F129" s="5" t="s">
        <v>1315</v>
      </c>
      <c r="G129" s="5" t="s">
        <v>1316</v>
      </c>
      <c r="H129" s="5" t="s">
        <v>1317</v>
      </c>
      <c r="I129" s="5" t="s">
        <v>156</v>
      </c>
      <c r="J129" s="5" t="s">
        <v>263</v>
      </c>
      <c r="K129" s="5" t="s">
        <v>1318</v>
      </c>
      <c r="L129" s="5" t="s">
        <v>32</v>
      </c>
      <c r="M129" s="5" t="s">
        <v>265</v>
      </c>
      <c r="N129" s="5" t="s">
        <v>28</v>
      </c>
      <c r="O129" s="5"/>
      <c r="P129" s="5"/>
    </row>
    <row r="130" customFormat="false" ht="41.25" hidden="false" customHeight="true" outlineLevel="0" collapsed="false">
      <c r="A130" s="5" t="s">
        <v>1319</v>
      </c>
      <c r="B130" s="5" t="s">
        <v>204</v>
      </c>
      <c r="C130" s="5" t="s">
        <v>167</v>
      </c>
      <c r="D130" s="5" t="s">
        <v>1320</v>
      </c>
      <c r="E130" s="5" t="s">
        <v>1321</v>
      </c>
      <c r="F130" s="5" t="s">
        <v>1322</v>
      </c>
      <c r="G130" s="5" t="s">
        <v>1323</v>
      </c>
      <c r="H130" s="5" t="s">
        <v>1324</v>
      </c>
      <c r="I130" s="5" t="s">
        <v>157</v>
      </c>
      <c r="J130" s="5" t="s">
        <v>263</v>
      </c>
      <c r="K130" s="5" t="s">
        <v>1325</v>
      </c>
      <c r="L130" s="5" t="s">
        <v>32</v>
      </c>
      <c r="M130" s="5" t="s">
        <v>265</v>
      </c>
      <c r="N130" s="5" t="s">
        <v>28</v>
      </c>
      <c r="O130" s="5"/>
      <c r="P130" s="5"/>
    </row>
    <row r="131" customFormat="false" ht="27.75" hidden="false" customHeight="true" outlineLevel="0" collapsed="false">
      <c r="A131" s="5" t="s">
        <v>1326</v>
      </c>
      <c r="B131" s="5" t="s">
        <v>204</v>
      </c>
      <c r="C131" s="5" t="s">
        <v>167</v>
      </c>
      <c r="D131" s="5" t="s">
        <v>1327</v>
      </c>
      <c r="E131" s="5" t="s">
        <v>1328</v>
      </c>
      <c r="F131" s="5" t="s">
        <v>1329</v>
      </c>
      <c r="G131" s="5" t="s">
        <v>1330</v>
      </c>
      <c r="H131" s="5" t="s">
        <v>1331</v>
      </c>
      <c r="I131" s="5" t="s">
        <v>157</v>
      </c>
      <c r="J131" s="5" t="s">
        <v>342</v>
      </c>
      <c r="K131" s="5" t="s">
        <v>1332</v>
      </c>
      <c r="L131" s="5" t="s">
        <v>32</v>
      </c>
      <c r="M131" s="5" t="s">
        <v>265</v>
      </c>
      <c r="N131" s="5" t="s">
        <v>28</v>
      </c>
      <c r="O131" s="5"/>
      <c r="P131" s="5"/>
    </row>
    <row r="132" customFormat="false" ht="27.75" hidden="false" customHeight="true" outlineLevel="0" collapsed="false">
      <c r="A132" s="5" t="s">
        <v>1333</v>
      </c>
      <c r="B132" s="5" t="s">
        <v>204</v>
      </c>
      <c r="C132" s="5" t="s">
        <v>167</v>
      </c>
      <c r="D132" s="5" t="s">
        <v>1334</v>
      </c>
      <c r="E132" s="5" t="s">
        <v>1335</v>
      </c>
      <c r="F132" s="5" t="s">
        <v>368</v>
      </c>
      <c r="G132" s="5" t="s">
        <v>1336</v>
      </c>
      <c r="H132" s="5" t="s">
        <v>1337</v>
      </c>
      <c r="I132" s="5" t="s">
        <v>158</v>
      </c>
      <c r="J132" s="5" t="s">
        <v>263</v>
      </c>
      <c r="K132" s="5" t="s">
        <v>1338</v>
      </c>
      <c r="L132" s="5" t="s">
        <v>32</v>
      </c>
      <c r="M132" s="5" t="s">
        <v>265</v>
      </c>
      <c r="N132" s="5" t="s">
        <v>96</v>
      </c>
      <c r="O132" s="5"/>
      <c r="P132" s="5"/>
    </row>
    <row r="133" customFormat="false" ht="27.75" hidden="false" customHeight="true" outlineLevel="0" collapsed="false">
      <c r="A133" s="5" t="s">
        <v>1339</v>
      </c>
      <c r="B133" s="5" t="s">
        <v>204</v>
      </c>
      <c r="C133" s="5" t="s">
        <v>167</v>
      </c>
      <c r="D133" s="5" t="s">
        <v>1340</v>
      </c>
      <c r="E133" s="5" t="s">
        <v>479</v>
      </c>
      <c r="F133" s="5" t="s">
        <v>1341</v>
      </c>
      <c r="G133" s="5" t="s">
        <v>1342</v>
      </c>
      <c r="H133" s="5" t="s">
        <v>1343</v>
      </c>
      <c r="I133" s="5" t="s">
        <v>158</v>
      </c>
      <c r="J133" s="5" t="s">
        <v>263</v>
      </c>
      <c r="K133" s="5" t="s">
        <v>1344</v>
      </c>
      <c r="L133" s="5" t="s">
        <v>32</v>
      </c>
      <c r="M133" s="5" t="s">
        <v>265</v>
      </c>
      <c r="N133" s="5" t="s">
        <v>96</v>
      </c>
      <c r="O133" s="5"/>
      <c r="P133" s="5"/>
    </row>
    <row r="134" customFormat="false" ht="54.75" hidden="false" customHeight="true" outlineLevel="0" collapsed="false">
      <c r="A134" s="5" t="s">
        <v>1345</v>
      </c>
      <c r="B134" s="5" t="s">
        <v>204</v>
      </c>
      <c r="C134" s="5" t="s">
        <v>167</v>
      </c>
      <c r="D134" s="5" t="s">
        <v>1346</v>
      </c>
      <c r="E134" s="5" t="s">
        <v>1347</v>
      </c>
      <c r="F134" s="5" t="s">
        <v>368</v>
      </c>
      <c r="G134" s="5" t="s">
        <v>1348</v>
      </c>
      <c r="H134" s="5" t="s">
        <v>1349</v>
      </c>
      <c r="I134" s="5" t="s">
        <v>157</v>
      </c>
      <c r="J134" s="5" t="s">
        <v>263</v>
      </c>
      <c r="K134" s="5" t="s">
        <v>1350</v>
      </c>
      <c r="L134" s="5" t="s">
        <v>32</v>
      </c>
      <c r="M134" s="5" t="s">
        <v>265</v>
      </c>
      <c r="N134" s="5" t="s">
        <v>28</v>
      </c>
      <c r="O134" s="5"/>
      <c r="P134" s="5"/>
    </row>
    <row r="135" customFormat="false" ht="27.75" hidden="false" customHeight="true" outlineLevel="0" collapsed="false">
      <c r="A135" s="5" t="s">
        <v>1351</v>
      </c>
      <c r="B135" s="5" t="s">
        <v>204</v>
      </c>
      <c r="C135" s="5" t="s">
        <v>167</v>
      </c>
      <c r="D135" s="5" t="s">
        <v>1352</v>
      </c>
      <c r="E135" s="5" t="s">
        <v>1353</v>
      </c>
      <c r="F135" s="5" t="s">
        <v>368</v>
      </c>
      <c r="G135" s="5" t="s">
        <v>1354</v>
      </c>
      <c r="H135" s="5" t="s">
        <v>1355</v>
      </c>
      <c r="I135" s="5" t="s">
        <v>157</v>
      </c>
      <c r="J135" s="5" t="s">
        <v>263</v>
      </c>
      <c r="K135" s="5" t="s">
        <v>1356</v>
      </c>
      <c r="L135" s="5" t="s">
        <v>32</v>
      </c>
      <c r="M135" s="5" t="s">
        <v>265</v>
      </c>
      <c r="N135" s="5" t="s">
        <v>28</v>
      </c>
      <c r="O135" s="5"/>
      <c r="P135" s="5"/>
    </row>
    <row r="136" customFormat="false" ht="27.75" hidden="false" customHeight="true" outlineLevel="0" collapsed="false">
      <c r="A136" s="5" t="s">
        <v>1357</v>
      </c>
      <c r="B136" s="5" t="s">
        <v>204</v>
      </c>
      <c r="C136" s="5" t="s">
        <v>167</v>
      </c>
      <c r="D136" s="5" t="s">
        <v>1358</v>
      </c>
      <c r="E136" s="5" t="s">
        <v>1359</v>
      </c>
      <c r="F136" s="5" t="s">
        <v>368</v>
      </c>
      <c r="G136" s="5" t="s">
        <v>1360</v>
      </c>
      <c r="H136" s="5" t="s">
        <v>1361</v>
      </c>
      <c r="I136" s="5" t="s">
        <v>157</v>
      </c>
      <c r="J136" s="5" t="s">
        <v>263</v>
      </c>
      <c r="K136" s="5" t="s">
        <v>1362</v>
      </c>
      <c r="L136" s="5" t="s">
        <v>32</v>
      </c>
      <c r="M136" s="5" t="s">
        <v>265</v>
      </c>
      <c r="N136" s="5" t="s">
        <v>28</v>
      </c>
      <c r="O136" s="5"/>
      <c r="P136" s="5"/>
    </row>
    <row r="137" customFormat="false" ht="27.75" hidden="false" customHeight="true" outlineLevel="0" collapsed="false">
      <c r="A137" s="5" t="s">
        <v>1363</v>
      </c>
      <c r="B137" s="5" t="s">
        <v>204</v>
      </c>
      <c r="C137" s="5" t="s">
        <v>167</v>
      </c>
      <c r="D137" s="5" t="s">
        <v>1364</v>
      </c>
      <c r="E137" s="5" t="s">
        <v>1365</v>
      </c>
      <c r="F137" s="5" t="s">
        <v>368</v>
      </c>
      <c r="G137" s="5" t="s">
        <v>1366</v>
      </c>
      <c r="H137" s="5" t="s">
        <v>1367</v>
      </c>
      <c r="I137" s="5" t="s">
        <v>157</v>
      </c>
      <c r="J137" s="5" t="s">
        <v>311</v>
      </c>
      <c r="K137" s="5" t="s">
        <v>1368</v>
      </c>
      <c r="L137" s="5" t="s">
        <v>32</v>
      </c>
      <c r="M137" s="5" t="s">
        <v>265</v>
      </c>
      <c r="N137" s="5" t="s">
        <v>28</v>
      </c>
      <c r="O137" s="5" t="s">
        <v>1369</v>
      </c>
      <c r="P137" s="5"/>
    </row>
    <row r="138" customFormat="false" ht="27.75" hidden="false" customHeight="true" outlineLevel="0" collapsed="false">
      <c r="A138" s="5" t="s">
        <v>1370</v>
      </c>
      <c r="B138" s="5" t="s">
        <v>204</v>
      </c>
      <c r="C138" s="5" t="s">
        <v>167</v>
      </c>
      <c r="D138" s="5" t="s">
        <v>1371</v>
      </c>
      <c r="E138" s="5" t="s">
        <v>1372</v>
      </c>
      <c r="F138" s="5" t="s">
        <v>368</v>
      </c>
      <c r="G138" s="5" t="s">
        <v>1373</v>
      </c>
      <c r="H138" s="5" t="s">
        <v>1374</v>
      </c>
      <c r="I138" s="5" t="s">
        <v>157</v>
      </c>
      <c r="J138" s="5" t="s">
        <v>263</v>
      </c>
      <c r="K138" s="5" t="s">
        <v>1375</v>
      </c>
      <c r="L138" s="5" t="s">
        <v>32</v>
      </c>
      <c r="M138" s="5" t="s">
        <v>265</v>
      </c>
      <c r="N138" s="5" t="s">
        <v>28</v>
      </c>
      <c r="O138" s="5"/>
      <c r="P138" s="5"/>
    </row>
    <row r="139" customFormat="false" ht="41.25" hidden="false" customHeight="true" outlineLevel="0" collapsed="false">
      <c r="A139" s="5" t="s">
        <v>1376</v>
      </c>
      <c r="B139" s="5" t="s">
        <v>204</v>
      </c>
      <c r="C139" s="5" t="s">
        <v>167</v>
      </c>
      <c r="D139" s="5" t="s">
        <v>1377</v>
      </c>
      <c r="E139" s="5" t="s">
        <v>1378</v>
      </c>
      <c r="F139" s="5" t="s">
        <v>1379</v>
      </c>
      <c r="G139" s="5" t="s">
        <v>1380</v>
      </c>
      <c r="H139" s="5" t="s">
        <v>1381</v>
      </c>
      <c r="I139" s="5" t="s">
        <v>158</v>
      </c>
      <c r="J139" s="5" t="s">
        <v>263</v>
      </c>
      <c r="K139" s="5" t="s">
        <v>1382</v>
      </c>
      <c r="L139" s="5" t="s">
        <v>32</v>
      </c>
      <c r="M139" s="5" t="s">
        <v>265</v>
      </c>
      <c r="N139" s="5" t="s">
        <v>96</v>
      </c>
      <c r="O139" s="5"/>
      <c r="P139" s="5"/>
    </row>
    <row r="140" customFormat="false" ht="68.25" hidden="false" customHeight="true" outlineLevel="0" collapsed="false">
      <c r="A140" s="5" t="s">
        <v>1383</v>
      </c>
      <c r="B140" s="5" t="s">
        <v>204</v>
      </c>
      <c r="C140" s="5" t="s">
        <v>167</v>
      </c>
      <c r="D140" s="5" t="s">
        <v>1384</v>
      </c>
      <c r="E140" s="5" t="s">
        <v>1385</v>
      </c>
      <c r="F140" s="5" t="s">
        <v>368</v>
      </c>
      <c r="G140" s="5" t="s">
        <v>1386</v>
      </c>
      <c r="H140" s="5" t="s">
        <v>1387</v>
      </c>
      <c r="I140" s="5" t="s">
        <v>156</v>
      </c>
      <c r="J140" s="5" t="s">
        <v>278</v>
      </c>
      <c r="K140" s="5" t="s">
        <v>1388</v>
      </c>
      <c r="L140" s="5" t="s">
        <v>32</v>
      </c>
      <c r="M140" s="5" t="s">
        <v>265</v>
      </c>
      <c r="N140" s="5" t="s">
        <v>28</v>
      </c>
      <c r="O140" s="5"/>
      <c r="P140" s="5"/>
    </row>
    <row r="141" customFormat="false" ht="54.75" hidden="false" customHeight="true" outlineLevel="0" collapsed="false">
      <c r="A141" s="5" t="s">
        <v>1389</v>
      </c>
      <c r="B141" s="5" t="s">
        <v>204</v>
      </c>
      <c r="C141" s="5" t="s">
        <v>167</v>
      </c>
      <c r="D141" s="5" t="s">
        <v>1390</v>
      </c>
      <c r="E141" s="5" t="s">
        <v>1391</v>
      </c>
      <c r="F141" s="5" t="s">
        <v>862</v>
      </c>
      <c r="G141" s="5" t="s">
        <v>1392</v>
      </c>
      <c r="H141" s="5" t="s">
        <v>1393</v>
      </c>
      <c r="I141" s="5" t="s">
        <v>156</v>
      </c>
      <c r="J141" s="5" t="s">
        <v>342</v>
      </c>
      <c r="K141" s="5" t="s">
        <v>1394</v>
      </c>
      <c r="L141" s="5" t="s">
        <v>32</v>
      </c>
      <c r="M141" s="5" t="s">
        <v>265</v>
      </c>
      <c r="N141" s="5" t="s">
        <v>28</v>
      </c>
      <c r="O141" s="5"/>
      <c r="P141" s="5"/>
    </row>
    <row r="142" customFormat="false" ht="27.75" hidden="false" customHeight="true" outlineLevel="0" collapsed="false">
      <c r="A142" s="5" t="s">
        <v>1395</v>
      </c>
      <c r="B142" s="5" t="s">
        <v>204</v>
      </c>
      <c r="C142" s="5" t="s">
        <v>167</v>
      </c>
      <c r="D142" s="5" t="s">
        <v>1396</v>
      </c>
      <c r="E142" s="5" t="s">
        <v>1397</v>
      </c>
      <c r="F142" s="5" t="s">
        <v>1398</v>
      </c>
      <c r="G142" s="5" t="s">
        <v>1399</v>
      </c>
      <c r="H142" s="5" t="s">
        <v>1400</v>
      </c>
      <c r="I142" s="5" t="s">
        <v>158</v>
      </c>
      <c r="J142" s="5" t="s">
        <v>253</v>
      </c>
      <c r="K142" s="5" t="s">
        <v>1401</v>
      </c>
      <c r="L142" s="5" t="s">
        <v>32</v>
      </c>
      <c r="M142" s="5" t="s">
        <v>265</v>
      </c>
      <c r="N142" s="5" t="s">
        <v>96</v>
      </c>
      <c r="O142" s="5"/>
      <c r="P142" s="5"/>
    </row>
    <row r="143" customFormat="false" ht="41.25" hidden="false" customHeight="true" outlineLevel="0" collapsed="false">
      <c r="A143" s="5" t="s">
        <v>1402</v>
      </c>
      <c r="B143" s="5" t="s">
        <v>204</v>
      </c>
      <c r="C143" s="5" t="s">
        <v>167</v>
      </c>
      <c r="D143" s="5" t="s">
        <v>1403</v>
      </c>
      <c r="E143" s="5" t="s">
        <v>1404</v>
      </c>
      <c r="F143" s="5" t="s">
        <v>1405</v>
      </c>
      <c r="G143" s="5" t="s">
        <v>1406</v>
      </c>
      <c r="H143" s="5" t="s">
        <v>1407</v>
      </c>
      <c r="I143" s="5" t="s">
        <v>158</v>
      </c>
      <c r="J143" s="5" t="s">
        <v>263</v>
      </c>
      <c r="K143" s="5" t="s">
        <v>1408</v>
      </c>
      <c r="L143" s="5" t="s">
        <v>32</v>
      </c>
      <c r="M143" s="5" t="s">
        <v>265</v>
      </c>
      <c r="N143" s="5" t="s">
        <v>96</v>
      </c>
      <c r="O143" s="5"/>
      <c r="P143" s="5"/>
    </row>
    <row r="144" customFormat="false" ht="27.75" hidden="false" customHeight="true" outlineLevel="0" collapsed="false">
      <c r="A144" s="5" t="s">
        <v>1409</v>
      </c>
      <c r="B144" s="5" t="s">
        <v>204</v>
      </c>
      <c r="C144" s="5" t="s">
        <v>167</v>
      </c>
      <c r="D144" s="5" t="s">
        <v>1410</v>
      </c>
      <c r="E144" s="5" t="s">
        <v>1411</v>
      </c>
      <c r="F144" s="5" t="s">
        <v>368</v>
      </c>
      <c r="G144" s="5" t="s">
        <v>1412</v>
      </c>
      <c r="H144" s="5" t="s">
        <v>1413</v>
      </c>
      <c r="I144" s="5" t="s">
        <v>158</v>
      </c>
      <c r="J144" s="5" t="s">
        <v>263</v>
      </c>
      <c r="K144" s="5" t="s">
        <v>1414</v>
      </c>
      <c r="L144" s="5" t="s">
        <v>32</v>
      </c>
      <c r="M144" s="5" t="s">
        <v>265</v>
      </c>
      <c r="N144" s="5" t="s">
        <v>96</v>
      </c>
      <c r="O144" s="5"/>
      <c r="P144" s="5"/>
    </row>
    <row r="145" customFormat="false" ht="27.75" hidden="false" customHeight="true" outlineLevel="0" collapsed="false">
      <c r="A145" s="5" t="s">
        <v>1415</v>
      </c>
      <c r="B145" s="5" t="s">
        <v>204</v>
      </c>
      <c r="C145" s="5" t="s">
        <v>167</v>
      </c>
      <c r="D145" s="5" t="s">
        <v>1416</v>
      </c>
      <c r="E145" s="5" t="s">
        <v>1417</v>
      </c>
      <c r="F145" s="5" t="s">
        <v>1418</v>
      </c>
      <c r="G145" s="5" t="s">
        <v>1419</v>
      </c>
      <c r="H145" s="5" t="s">
        <v>1420</v>
      </c>
      <c r="I145" s="5" t="s">
        <v>158</v>
      </c>
      <c r="J145" s="5" t="s">
        <v>342</v>
      </c>
      <c r="K145" s="5" t="s">
        <v>1421</v>
      </c>
      <c r="L145" s="5" t="s">
        <v>32</v>
      </c>
      <c r="M145" s="5" t="s">
        <v>265</v>
      </c>
      <c r="N145" s="5" t="s">
        <v>96</v>
      </c>
      <c r="O145" s="5"/>
      <c r="P145" s="5"/>
    </row>
    <row r="146" customFormat="false" ht="27.75" hidden="false" customHeight="true" outlineLevel="0" collapsed="false">
      <c r="A146" s="5" t="s">
        <v>1422</v>
      </c>
      <c r="B146" s="5" t="s">
        <v>204</v>
      </c>
      <c r="C146" s="5" t="s">
        <v>167</v>
      </c>
      <c r="D146" s="5" t="s">
        <v>1423</v>
      </c>
      <c r="E146" s="5" t="s">
        <v>1424</v>
      </c>
      <c r="F146" s="5" t="s">
        <v>1425</v>
      </c>
      <c r="G146" s="5" t="s">
        <v>1426</v>
      </c>
      <c r="H146" s="5" t="s">
        <v>1427</v>
      </c>
      <c r="I146" s="5" t="s">
        <v>158</v>
      </c>
      <c r="J146" s="5" t="s">
        <v>1428</v>
      </c>
      <c r="K146" s="5" t="s">
        <v>1429</v>
      </c>
      <c r="L146" s="5" t="s">
        <v>32</v>
      </c>
      <c r="M146" s="5" t="s">
        <v>265</v>
      </c>
      <c r="N146" s="5" t="s">
        <v>96</v>
      </c>
      <c r="O146" s="5"/>
      <c r="P146" s="5"/>
    </row>
    <row r="147" customFormat="false" ht="27.75" hidden="false" customHeight="true" outlineLevel="0" collapsed="false">
      <c r="A147" s="5" t="s">
        <v>1430</v>
      </c>
      <c r="B147" s="5" t="s">
        <v>204</v>
      </c>
      <c r="C147" s="5" t="s">
        <v>167</v>
      </c>
      <c r="D147" s="5" t="s">
        <v>1431</v>
      </c>
      <c r="E147" s="5" t="s">
        <v>1432</v>
      </c>
      <c r="F147" s="5" t="s">
        <v>368</v>
      </c>
      <c r="G147" s="5" t="s">
        <v>1426</v>
      </c>
      <c r="H147" s="5" t="s">
        <v>1433</v>
      </c>
      <c r="I147" s="5" t="s">
        <v>158</v>
      </c>
      <c r="J147" s="5" t="s">
        <v>263</v>
      </c>
      <c r="K147" s="5" t="s">
        <v>1434</v>
      </c>
      <c r="L147" s="5" t="s">
        <v>32</v>
      </c>
      <c r="M147" s="5" t="s">
        <v>265</v>
      </c>
      <c r="N147" s="5" t="s">
        <v>96</v>
      </c>
      <c r="O147" s="5" t="s">
        <v>1435</v>
      </c>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245</v>
      </c>
      <c r="B1" s="13" t="s">
        <v>175</v>
      </c>
      <c r="C1" s="13" t="s">
        <v>154</v>
      </c>
      <c r="D1" s="13" t="s">
        <v>246</v>
      </c>
      <c r="E1" s="13" t="s">
        <v>247</v>
      </c>
      <c r="F1" s="13" t="s">
        <v>248</v>
      </c>
      <c r="G1" s="13" t="s">
        <v>249</v>
      </c>
      <c r="H1" s="13" t="s">
        <v>250</v>
      </c>
      <c r="I1" s="13" t="s">
        <v>177</v>
      </c>
      <c r="J1" s="13" t="s">
        <v>251</v>
      </c>
      <c r="K1" s="13" t="s">
        <v>252</v>
      </c>
      <c r="L1" s="13" t="s">
        <v>253</v>
      </c>
      <c r="M1" s="13" t="s">
        <v>254</v>
      </c>
      <c r="N1" s="13" t="s">
        <v>255</v>
      </c>
      <c r="O1" s="13" t="s">
        <v>256</v>
      </c>
      <c r="P1" s="13" t="s">
        <v>27</v>
      </c>
    </row>
    <row r="2" customFormat="false" ht="54.75" hidden="false" customHeight="true" outlineLevel="0" collapsed="false">
      <c r="A2" s="5" t="s">
        <v>1436</v>
      </c>
      <c r="B2" s="5" t="s">
        <v>205</v>
      </c>
      <c r="C2" s="5" t="s">
        <v>168</v>
      </c>
      <c r="D2" s="5" t="s">
        <v>1437</v>
      </c>
      <c r="E2" s="5" t="s">
        <v>1438</v>
      </c>
      <c r="F2" s="5" t="s">
        <v>1439</v>
      </c>
      <c r="G2" s="5" t="s">
        <v>1440</v>
      </c>
      <c r="H2" s="5" t="s">
        <v>1441</v>
      </c>
      <c r="I2" s="5" t="s">
        <v>156</v>
      </c>
      <c r="J2" s="5" t="s">
        <v>263</v>
      </c>
      <c r="K2" s="5" t="s">
        <v>1442</v>
      </c>
      <c r="L2" s="5" t="s">
        <v>32</v>
      </c>
      <c r="M2" s="5" t="s">
        <v>265</v>
      </c>
      <c r="N2" s="5" t="s">
        <v>28</v>
      </c>
      <c r="O2" s="5"/>
      <c r="P2" s="5"/>
    </row>
    <row r="3" customFormat="false" ht="27.75" hidden="false" customHeight="true" outlineLevel="0" collapsed="false">
      <c r="A3" s="5" t="s">
        <v>1443</v>
      </c>
      <c r="B3" s="5" t="s">
        <v>205</v>
      </c>
      <c r="C3" s="5" t="s">
        <v>168</v>
      </c>
      <c r="D3" s="5" t="s">
        <v>1444</v>
      </c>
      <c r="E3" s="5" t="s">
        <v>1445</v>
      </c>
      <c r="F3" s="5" t="s">
        <v>1446</v>
      </c>
      <c r="G3" s="5" t="s">
        <v>1447</v>
      </c>
      <c r="H3" s="5" t="s">
        <v>1448</v>
      </c>
      <c r="I3" s="5" t="s">
        <v>156</v>
      </c>
      <c r="J3" s="5" t="s">
        <v>286</v>
      </c>
      <c r="K3" s="5" t="s">
        <v>1449</v>
      </c>
      <c r="L3" s="5" t="s">
        <v>32</v>
      </c>
      <c r="M3" s="5" t="s">
        <v>265</v>
      </c>
      <c r="N3" s="5" t="s">
        <v>28</v>
      </c>
      <c r="O3" s="5"/>
      <c r="P3" s="5"/>
    </row>
    <row r="4" customFormat="false" ht="27.75" hidden="false" customHeight="true" outlineLevel="0" collapsed="false">
      <c r="A4" s="5" t="s">
        <v>1450</v>
      </c>
      <c r="B4" s="5" t="s">
        <v>205</v>
      </c>
      <c r="C4" s="5" t="s">
        <v>168</v>
      </c>
      <c r="D4" s="5" t="s">
        <v>1451</v>
      </c>
      <c r="E4" s="5" t="s">
        <v>855</v>
      </c>
      <c r="F4" s="5" t="s">
        <v>1452</v>
      </c>
      <c r="G4" s="5" t="s">
        <v>1453</v>
      </c>
      <c r="H4" s="5" t="s">
        <v>1454</v>
      </c>
      <c r="I4" s="5" t="s">
        <v>157</v>
      </c>
      <c r="J4" s="5" t="s">
        <v>286</v>
      </c>
      <c r="K4" s="5" t="s">
        <v>1455</v>
      </c>
      <c r="L4" s="5" t="s">
        <v>32</v>
      </c>
      <c r="M4" s="5" t="s">
        <v>265</v>
      </c>
      <c r="N4" s="5" t="s">
        <v>96</v>
      </c>
      <c r="O4" s="5"/>
      <c r="P4" s="5"/>
    </row>
    <row r="5" customFormat="false" ht="27.75" hidden="false" customHeight="true" outlineLevel="0" collapsed="false">
      <c r="A5" s="5" t="s">
        <v>1456</v>
      </c>
      <c r="B5" s="5" t="s">
        <v>205</v>
      </c>
      <c r="C5" s="5" t="s">
        <v>168</v>
      </c>
      <c r="D5" s="5" t="s">
        <v>1457</v>
      </c>
      <c r="E5" s="5" t="s">
        <v>855</v>
      </c>
      <c r="F5" s="5" t="s">
        <v>1458</v>
      </c>
      <c r="G5" s="5" t="s">
        <v>1459</v>
      </c>
      <c r="H5" s="5" t="s">
        <v>1460</v>
      </c>
      <c r="I5" s="5" t="s">
        <v>157</v>
      </c>
      <c r="J5" s="5" t="s">
        <v>286</v>
      </c>
      <c r="K5" s="5" t="s">
        <v>1461</v>
      </c>
      <c r="L5" s="5" t="s">
        <v>32</v>
      </c>
      <c r="M5" s="5" t="s">
        <v>265</v>
      </c>
      <c r="N5" s="5" t="s">
        <v>96</v>
      </c>
      <c r="O5" s="5"/>
      <c r="P5" s="5"/>
    </row>
    <row r="6" customFormat="false" ht="41.25" hidden="false" customHeight="true" outlineLevel="0" collapsed="false">
      <c r="A6" s="5" t="s">
        <v>1462</v>
      </c>
      <c r="B6" s="5" t="s">
        <v>205</v>
      </c>
      <c r="C6" s="5" t="s">
        <v>168</v>
      </c>
      <c r="D6" s="5" t="s">
        <v>1463</v>
      </c>
      <c r="E6" s="5" t="s">
        <v>1464</v>
      </c>
      <c r="F6" s="5" t="s">
        <v>1465</v>
      </c>
      <c r="G6" s="5" t="s">
        <v>1466</v>
      </c>
      <c r="H6" s="5" t="s">
        <v>1467</v>
      </c>
      <c r="I6" s="5" t="s">
        <v>156</v>
      </c>
      <c r="J6" s="5" t="s">
        <v>263</v>
      </c>
      <c r="K6" s="5" t="s">
        <v>1468</v>
      </c>
      <c r="L6" s="5" t="s">
        <v>32</v>
      </c>
      <c r="M6" s="5" t="s">
        <v>265</v>
      </c>
      <c r="N6" s="5" t="s">
        <v>28</v>
      </c>
      <c r="O6" s="5"/>
      <c r="P6" s="5"/>
    </row>
    <row r="7" customFormat="false" ht="27.75" hidden="false" customHeight="true" outlineLevel="0" collapsed="false">
      <c r="A7" s="5" t="s">
        <v>1469</v>
      </c>
      <c r="B7" s="5" t="s">
        <v>205</v>
      </c>
      <c r="C7" s="5" t="s">
        <v>168</v>
      </c>
      <c r="D7" s="5" t="s">
        <v>1470</v>
      </c>
      <c r="E7" s="5" t="s">
        <v>855</v>
      </c>
      <c r="F7" s="5" t="s">
        <v>1471</v>
      </c>
      <c r="G7" s="5" t="s">
        <v>1472</v>
      </c>
      <c r="H7" s="5" t="s">
        <v>1473</v>
      </c>
      <c r="I7" s="5" t="s">
        <v>157</v>
      </c>
      <c r="J7" s="5" t="s">
        <v>263</v>
      </c>
      <c r="K7" s="5" t="s">
        <v>1474</v>
      </c>
      <c r="L7" s="5" t="s">
        <v>32</v>
      </c>
      <c r="M7" s="5" t="s">
        <v>265</v>
      </c>
      <c r="N7" s="5" t="s">
        <v>96</v>
      </c>
      <c r="O7" s="5"/>
      <c r="P7" s="5"/>
    </row>
    <row r="8" customFormat="false" ht="27.75" hidden="false" customHeight="true" outlineLevel="0" collapsed="false">
      <c r="A8" s="5" t="s">
        <v>1475</v>
      </c>
      <c r="B8" s="5" t="s">
        <v>205</v>
      </c>
      <c r="C8" s="5" t="s">
        <v>168</v>
      </c>
      <c r="D8" s="5" t="s">
        <v>1476</v>
      </c>
      <c r="E8" s="5" t="s">
        <v>855</v>
      </c>
      <c r="F8" s="5" t="s">
        <v>1477</v>
      </c>
      <c r="G8" s="5" t="s">
        <v>637</v>
      </c>
      <c r="H8" s="5" t="s">
        <v>1478</v>
      </c>
      <c r="I8" s="5" t="s">
        <v>157</v>
      </c>
      <c r="J8" s="5" t="s">
        <v>311</v>
      </c>
      <c r="K8" s="5" t="s">
        <v>1479</v>
      </c>
      <c r="L8" s="5" t="s">
        <v>32</v>
      </c>
      <c r="M8" s="5" t="s">
        <v>265</v>
      </c>
      <c r="N8" s="5" t="s">
        <v>96</v>
      </c>
      <c r="O8" s="5" t="s">
        <v>1480</v>
      </c>
      <c r="P8" s="5"/>
    </row>
    <row r="9" customFormat="false" ht="27.75" hidden="false" customHeight="true" outlineLevel="0" collapsed="false">
      <c r="A9" s="5" t="s">
        <v>1481</v>
      </c>
      <c r="B9" s="5" t="s">
        <v>205</v>
      </c>
      <c r="C9" s="5" t="s">
        <v>168</v>
      </c>
      <c r="D9" s="5" t="s">
        <v>1482</v>
      </c>
      <c r="E9" s="5" t="s">
        <v>855</v>
      </c>
      <c r="F9" s="5" t="s">
        <v>1483</v>
      </c>
      <c r="G9" s="5" t="s">
        <v>1484</v>
      </c>
      <c r="H9" s="5" t="s">
        <v>1485</v>
      </c>
      <c r="I9" s="5" t="s">
        <v>157</v>
      </c>
      <c r="J9" s="5" t="s">
        <v>342</v>
      </c>
      <c r="K9" s="5" t="s">
        <v>1486</v>
      </c>
      <c r="L9" s="5" t="s">
        <v>32</v>
      </c>
      <c r="M9" s="5" t="s">
        <v>265</v>
      </c>
      <c r="N9" s="5" t="s">
        <v>96</v>
      </c>
      <c r="O9" s="5"/>
      <c r="P9" s="5"/>
    </row>
    <row r="10" customFormat="false" ht="41.25" hidden="false" customHeight="true" outlineLevel="0" collapsed="false">
      <c r="A10" s="5" t="s">
        <v>1487</v>
      </c>
      <c r="B10" s="5" t="s">
        <v>206</v>
      </c>
      <c r="C10" s="5" t="s">
        <v>168</v>
      </c>
      <c r="D10" s="5" t="s">
        <v>1488</v>
      </c>
      <c r="E10" s="5" t="s">
        <v>1489</v>
      </c>
      <c r="F10" s="5" t="s">
        <v>1490</v>
      </c>
      <c r="G10" s="5" t="s">
        <v>1491</v>
      </c>
      <c r="H10" s="5" t="s">
        <v>1492</v>
      </c>
      <c r="I10" s="5" t="s">
        <v>156</v>
      </c>
      <c r="J10" s="5" t="s">
        <v>263</v>
      </c>
      <c r="K10" s="5" t="s">
        <v>1493</v>
      </c>
      <c r="L10" s="5" t="s">
        <v>32</v>
      </c>
      <c r="M10" s="5" t="s">
        <v>265</v>
      </c>
      <c r="N10" s="5" t="s">
        <v>28</v>
      </c>
      <c r="O10" s="5"/>
      <c r="P10" s="5"/>
    </row>
    <row r="11" customFormat="false" ht="27.75" hidden="false" customHeight="true" outlineLevel="0" collapsed="false">
      <c r="A11" s="5" t="s">
        <v>1494</v>
      </c>
      <c r="B11" s="5" t="s">
        <v>206</v>
      </c>
      <c r="C11" s="5" t="s">
        <v>168</v>
      </c>
      <c r="D11" s="5" t="s">
        <v>1495</v>
      </c>
      <c r="E11" s="5" t="s">
        <v>1496</v>
      </c>
      <c r="F11" s="5" t="s">
        <v>368</v>
      </c>
      <c r="G11" s="5" t="s">
        <v>1497</v>
      </c>
      <c r="H11" s="5" t="s">
        <v>1498</v>
      </c>
      <c r="I11" s="5" t="s">
        <v>156</v>
      </c>
      <c r="J11" s="5" t="s">
        <v>253</v>
      </c>
      <c r="K11" s="5" t="s">
        <v>1499</v>
      </c>
      <c r="L11" s="5" t="s">
        <v>32</v>
      </c>
      <c r="M11" s="5" t="s">
        <v>265</v>
      </c>
      <c r="N11" s="5" t="s">
        <v>28</v>
      </c>
      <c r="O11" s="5"/>
      <c r="P11" s="5"/>
    </row>
    <row r="12" customFormat="false" ht="27.75" hidden="false" customHeight="true" outlineLevel="0" collapsed="false">
      <c r="A12" s="5" t="s">
        <v>1500</v>
      </c>
      <c r="B12" s="5" t="s">
        <v>206</v>
      </c>
      <c r="C12" s="5" t="s">
        <v>168</v>
      </c>
      <c r="D12" s="5" t="s">
        <v>1501</v>
      </c>
      <c r="E12" s="5" t="s">
        <v>1502</v>
      </c>
      <c r="F12" s="5" t="s">
        <v>1503</v>
      </c>
      <c r="G12" s="5" t="s">
        <v>1504</v>
      </c>
      <c r="H12" s="5" t="s">
        <v>1505</v>
      </c>
      <c r="I12" s="5" t="s">
        <v>157</v>
      </c>
      <c r="J12" s="5" t="s">
        <v>286</v>
      </c>
      <c r="K12" s="5" t="s">
        <v>1506</v>
      </c>
      <c r="L12" s="5" t="s">
        <v>32</v>
      </c>
      <c r="M12" s="5" t="s">
        <v>265</v>
      </c>
      <c r="N12" s="5" t="s">
        <v>96</v>
      </c>
      <c r="O12" s="5"/>
      <c r="P12" s="5"/>
    </row>
    <row r="13" customFormat="false" ht="27.75" hidden="false" customHeight="true" outlineLevel="0" collapsed="false">
      <c r="A13" s="5" t="s">
        <v>1507</v>
      </c>
      <c r="B13" s="5" t="s">
        <v>206</v>
      </c>
      <c r="C13" s="5" t="s">
        <v>168</v>
      </c>
      <c r="D13" s="5" t="s">
        <v>1508</v>
      </c>
      <c r="E13" s="5" t="s">
        <v>1509</v>
      </c>
      <c r="F13" s="5" t="s">
        <v>1510</v>
      </c>
      <c r="G13" s="5" t="s">
        <v>1511</v>
      </c>
      <c r="H13" s="5" t="s">
        <v>1512</v>
      </c>
      <c r="I13" s="5" t="s">
        <v>157</v>
      </c>
      <c r="J13" s="5" t="s">
        <v>253</v>
      </c>
      <c r="K13" s="5" t="s">
        <v>1513</v>
      </c>
      <c r="L13" s="5" t="s">
        <v>32</v>
      </c>
      <c r="M13" s="5" t="s">
        <v>265</v>
      </c>
      <c r="N13" s="5" t="s">
        <v>96</v>
      </c>
      <c r="O13" s="5"/>
      <c r="P13" s="5"/>
    </row>
    <row r="14" customFormat="false" ht="27.75" hidden="false" customHeight="true" outlineLevel="0" collapsed="false">
      <c r="A14" s="5" t="s">
        <v>1514</v>
      </c>
      <c r="B14" s="5" t="s">
        <v>206</v>
      </c>
      <c r="C14" s="5" t="s">
        <v>168</v>
      </c>
      <c r="D14" s="5" t="s">
        <v>1515</v>
      </c>
      <c r="E14" s="5" t="s">
        <v>1516</v>
      </c>
      <c r="F14" s="5" t="s">
        <v>368</v>
      </c>
      <c r="G14" s="5" t="s">
        <v>1517</v>
      </c>
      <c r="H14" s="5" t="s">
        <v>1518</v>
      </c>
      <c r="I14" s="5" t="s">
        <v>156</v>
      </c>
      <c r="J14" s="5" t="s">
        <v>342</v>
      </c>
      <c r="K14" s="5" t="s">
        <v>1519</v>
      </c>
      <c r="L14" s="5" t="s">
        <v>32</v>
      </c>
      <c r="M14" s="5" t="s">
        <v>265</v>
      </c>
      <c r="N14" s="5" t="s">
        <v>28</v>
      </c>
      <c r="O14" s="5"/>
      <c r="P14" s="5"/>
    </row>
    <row r="15" customFormat="false" ht="68.25" hidden="false" customHeight="true" outlineLevel="0" collapsed="false">
      <c r="A15" s="5" t="s">
        <v>1520</v>
      </c>
      <c r="B15" s="5" t="s">
        <v>207</v>
      </c>
      <c r="C15" s="5" t="s">
        <v>168</v>
      </c>
      <c r="D15" s="5" t="s">
        <v>1521</v>
      </c>
      <c r="E15" s="5" t="s">
        <v>855</v>
      </c>
      <c r="F15" s="5" t="s">
        <v>1522</v>
      </c>
      <c r="G15" s="5" t="s">
        <v>1523</v>
      </c>
      <c r="H15" s="5" t="s">
        <v>1524</v>
      </c>
      <c r="I15" s="5" t="s">
        <v>156</v>
      </c>
      <c r="J15" s="5" t="s">
        <v>263</v>
      </c>
      <c r="K15" s="5" t="s">
        <v>1525</v>
      </c>
      <c r="L15" s="5" t="s">
        <v>32</v>
      </c>
      <c r="M15" s="5" t="s">
        <v>265</v>
      </c>
      <c r="N15" s="5" t="s">
        <v>28</v>
      </c>
      <c r="O15" s="5"/>
      <c r="P15" s="5"/>
    </row>
    <row r="16" customFormat="false" ht="27.75" hidden="false" customHeight="true" outlineLevel="0" collapsed="false">
      <c r="A16" s="5" t="s">
        <v>1526</v>
      </c>
      <c r="B16" s="5" t="s">
        <v>207</v>
      </c>
      <c r="C16" s="5" t="s">
        <v>168</v>
      </c>
      <c r="D16" s="5" t="s">
        <v>1527</v>
      </c>
      <c r="E16" s="5" t="s">
        <v>855</v>
      </c>
      <c r="F16" s="5" t="s">
        <v>1528</v>
      </c>
      <c r="G16" s="5" t="s">
        <v>1529</v>
      </c>
      <c r="H16" s="5" t="s">
        <v>1530</v>
      </c>
      <c r="I16" s="5" t="s">
        <v>156</v>
      </c>
      <c r="J16" s="5" t="s">
        <v>263</v>
      </c>
      <c r="K16" s="5" t="s">
        <v>1531</v>
      </c>
      <c r="L16" s="5" t="s">
        <v>32</v>
      </c>
      <c r="M16" s="5" t="s">
        <v>265</v>
      </c>
      <c r="N16" s="5" t="s">
        <v>28</v>
      </c>
      <c r="O16" s="5" t="s">
        <v>1532</v>
      </c>
      <c r="P16" s="5"/>
    </row>
    <row r="17" customFormat="false" ht="41.25" hidden="false" customHeight="true" outlineLevel="0" collapsed="false">
      <c r="A17" s="5" t="s">
        <v>1533</v>
      </c>
      <c r="B17" s="5" t="s">
        <v>207</v>
      </c>
      <c r="C17" s="5" t="s">
        <v>168</v>
      </c>
      <c r="D17" s="5" t="s">
        <v>1534</v>
      </c>
      <c r="E17" s="5" t="s">
        <v>855</v>
      </c>
      <c r="F17" s="5" t="s">
        <v>1535</v>
      </c>
      <c r="G17" s="5" t="s">
        <v>1536</v>
      </c>
      <c r="H17" s="5" t="s">
        <v>1537</v>
      </c>
      <c r="I17" s="5" t="s">
        <v>156</v>
      </c>
      <c r="J17" s="5" t="s">
        <v>286</v>
      </c>
      <c r="K17" s="5" t="s">
        <v>1538</v>
      </c>
      <c r="L17" s="5" t="s">
        <v>32</v>
      </c>
      <c r="M17" s="5" t="s">
        <v>265</v>
      </c>
      <c r="N17" s="5" t="s">
        <v>28</v>
      </c>
      <c r="O17" s="5"/>
      <c r="P17" s="5"/>
    </row>
    <row r="18" customFormat="false" ht="27.75" hidden="false" customHeight="true" outlineLevel="0" collapsed="false">
      <c r="A18" s="5" t="s">
        <v>1539</v>
      </c>
      <c r="B18" s="5" t="s">
        <v>207</v>
      </c>
      <c r="C18" s="5" t="s">
        <v>168</v>
      </c>
      <c r="D18" s="5" t="s">
        <v>1540</v>
      </c>
      <c r="E18" s="5" t="s">
        <v>855</v>
      </c>
      <c r="F18" s="5" t="s">
        <v>1541</v>
      </c>
      <c r="G18" s="5" t="s">
        <v>1542</v>
      </c>
      <c r="H18" s="5" t="s">
        <v>1543</v>
      </c>
      <c r="I18" s="5" t="s">
        <v>156</v>
      </c>
      <c r="J18" s="5" t="s">
        <v>311</v>
      </c>
      <c r="K18" s="5" t="s">
        <v>1544</v>
      </c>
      <c r="L18" s="5" t="s">
        <v>32</v>
      </c>
      <c r="M18" s="5" t="s">
        <v>265</v>
      </c>
      <c r="N18" s="5" t="s">
        <v>28</v>
      </c>
      <c r="O18" s="5"/>
      <c r="P18" s="5"/>
    </row>
    <row r="19" customFormat="false" ht="27.75" hidden="false" customHeight="true" outlineLevel="0" collapsed="false">
      <c r="A19" s="5" t="s">
        <v>1545</v>
      </c>
      <c r="B19" s="5" t="s">
        <v>207</v>
      </c>
      <c r="C19" s="5" t="s">
        <v>168</v>
      </c>
      <c r="D19" s="5" t="s">
        <v>1546</v>
      </c>
      <c r="E19" s="5" t="s">
        <v>855</v>
      </c>
      <c r="F19" s="5" t="s">
        <v>1547</v>
      </c>
      <c r="G19" s="5" t="s">
        <v>1548</v>
      </c>
      <c r="H19" s="5" t="s">
        <v>1549</v>
      </c>
      <c r="I19" s="5" t="s">
        <v>156</v>
      </c>
      <c r="J19" s="5" t="s">
        <v>311</v>
      </c>
      <c r="K19" s="5" t="s">
        <v>1550</v>
      </c>
      <c r="L19" s="5" t="s">
        <v>32</v>
      </c>
      <c r="M19" s="5" t="s">
        <v>265</v>
      </c>
      <c r="N19" s="5" t="s">
        <v>28</v>
      </c>
      <c r="O19" s="5"/>
      <c r="P19" s="5"/>
    </row>
    <row r="20" customFormat="false" ht="27.75" hidden="false" customHeight="true" outlineLevel="0" collapsed="false">
      <c r="A20" s="5" t="s">
        <v>1551</v>
      </c>
      <c r="B20" s="5" t="s">
        <v>207</v>
      </c>
      <c r="C20" s="5" t="s">
        <v>168</v>
      </c>
      <c r="D20" s="5" t="s">
        <v>1552</v>
      </c>
      <c r="E20" s="5" t="s">
        <v>855</v>
      </c>
      <c r="F20" s="5" t="s">
        <v>1553</v>
      </c>
      <c r="G20" s="5" t="s">
        <v>1554</v>
      </c>
      <c r="H20" s="5" t="s">
        <v>1555</v>
      </c>
      <c r="I20" s="5" t="s">
        <v>156</v>
      </c>
      <c r="J20" s="5" t="s">
        <v>286</v>
      </c>
      <c r="K20" s="5" t="s">
        <v>1556</v>
      </c>
      <c r="L20" s="5" t="s">
        <v>32</v>
      </c>
      <c r="M20" s="5" t="s">
        <v>265</v>
      </c>
      <c r="N20" s="5" t="s">
        <v>28</v>
      </c>
      <c r="O20" s="5"/>
      <c r="P20" s="5"/>
    </row>
    <row r="21" customFormat="false" ht="27.75" hidden="false" customHeight="true" outlineLevel="0" collapsed="false">
      <c r="A21" s="5" t="s">
        <v>1557</v>
      </c>
      <c r="B21" s="5" t="s">
        <v>207</v>
      </c>
      <c r="C21" s="5" t="s">
        <v>168</v>
      </c>
      <c r="D21" s="5" t="s">
        <v>1558</v>
      </c>
      <c r="E21" s="5" t="s">
        <v>855</v>
      </c>
      <c r="F21" s="5" t="s">
        <v>1559</v>
      </c>
      <c r="G21" s="5" t="s">
        <v>1560</v>
      </c>
      <c r="H21" s="5" t="s">
        <v>1561</v>
      </c>
      <c r="I21" s="5" t="s">
        <v>157</v>
      </c>
      <c r="J21" s="5" t="s">
        <v>263</v>
      </c>
      <c r="K21" s="5" t="s">
        <v>1562</v>
      </c>
      <c r="L21" s="5" t="s">
        <v>32</v>
      </c>
      <c r="M21" s="5" t="s">
        <v>265</v>
      </c>
      <c r="N21" s="5" t="s">
        <v>96</v>
      </c>
      <c r="O21" s="5"/>
      <c r="P21" s="5"/>
    </row>
    <row r="22" customFormat="false" ht="27.75" hidden="false" customHeight="true" outlineLevel="0" collapsed="false">
      <c r="A22" s="5" t="s">
        <v>1563</v>
      </c>
      <c r="B22" s="5" t="s">
        <v>207</v>
      </c>
      <c r="C22" s="5" t="s">
        <v>168</v>
      </c>
      <c r="D22" s="5" t="s">
        <v>1564</v>
      </c>
      <c r="E22" s="5" t="s">
        <v>855</v>
      </c>
      <c r="F22" s="5" t="s">
        <v>1565</v>
      </c>
      <c r="G22" s="5" t="s">
        <v>1566</v>
      </c>
      <c r="H22" s="5" t="s">
        <v>1567</v>
      </c>
      <c r="I22" s="5" t="s">
        <v>156</v>
      </c>
      <c r="J22" s="5" t="s">
        <v>311</v>
      </c>
      <c r="K22" s="5" t="s">
        <v>1568</v>
      </c>
      <c r="L22" s="5" t="s">
        <v>32</v>
      </c>
      <c r="M22" s="5" t="s">
        <v>265</v>
      </c>
      <c r="N22" s="5" t="s">
        <v>28</v>
      </c>
      <c r="O22" s="5"/>
      <c r="P22" s="5"/>
    </row>
    <row r="23" customFormat="false" ht="27.75" hidden="false" customHeight="true" outlineLevel="0" collapsed="false">
      <c r="A23" s="5" t="s">
        <v>1569</v>
      </c>
      <c r="B23" s="5" t="s">
        <v>207</v>
      </c>
      <c r="C23" s="5" t="s">
        <v>168</v>
      </c>
      <c r="D23" s="5" t="s">
        <v>1570</v>
      </c>
      <c r="E23" s="5" t="s">
        <v>1571</v>
      </c>
      <c r="F23" s="5" t="s">
        <v>1572</v>
      </c>
      <c r="G23" s="5" t="s">
        <v>1566</v>
      </c>
      <c r="H23" s="5" t="s">
        <v>1573</v>
      </c>
      <c r="I23" s="5" t="s">
        <v>156</v>
      </c>
      <c r="J23" s="5" t="s">
        <v>311</v>
      </c>
      <c r="K23" s="5" t="s">
        <v>1574</v>
      </c>
      <c r="L23" s="5" t="s">
        <v>32</v>
      </c>
      <c r="M23" s="5" t="s">
        <v>265</v>
      </c>
      <c r="N23" s="5" t="s">
        <v>28</v>
      </c>
      <c r="O23" s="5"/>
      <c r="P23" s="5"/>
    </row>
    <row r="24" customFormat="false" ht="54.75" hidden="false" customHeight="true" outlineLevel="0" collapsed="false">
      <c r="A24" s="5" t="s">
        <v>1575</v>
      </c>
      <c r="B24" s="5" t="s">
        <v>207</v>
      </c>
      <c r="C24" s="5" t="s">
        <v>168</v>
      </c>
      <c r="D24" s="5" t="s">
        <v>1576</v>
      </c>
      <c r="E24" s="5" t="s">
        <v>855</v>
      </c>
      <c r="F24" s="5" t="s">
        <v>1577</v>
      </c>
      <c r="G24" s="5" t="s">
        <v>1578</v>
      </c>
      <c r="H24" s="5" t="s">
        <v>1579</v>
      </c>
      <c r="I24" s="5" t="s">
        <v>156</v>
      </c>
      <c r="J24" s="5" t="s">
        <v>263</v>
      </c>
      <c r="K24" s="5" t="s">
        <v>1580</v>
      </c>
      <c r="L24" s="5" t="s">
        <v>32</v>
      </c>
      <c r="M24" s="5" t="s">
        <v>265</v>
      </c>
      <c r="N24" s="5" t="s">
        <v>28</v>
      </c>
      <c r="O24" s="5"/>
      <c r="P24" s="5"/>
    </row>
    <row r="25" customFormat="false" ht="41.25" hidden="false" customHeight="true" outlineLevel="0" collapsed="false">
      <c r="A25" s="5" t="s">
        <v>1581</v>
      </c>
      <c r="B25" s="5" t="s">
        <v>207</v>
      </c>
      <c r="C25" s="5" t="s">
        <v>168</v>
      </c>
      <c r="D25" s="5" t="s">
        <v>1582</v>
      </c>
      <c r="E25" s="5" t="s">
        <v>855</v>
      </c>
      <c r="F25" s="5" t="s">
        <v>1583</v>
      </c>
      <c r="G25" s="5" t="s">
        <v>1584</v>
      </c>
      <c r="H25" s="5" t="s">
        <v>1585</v>
      </c>
      <c r="I25" s="5" t="s">
        <v>156</v>
      </c>
      <c r="J25" s="5" t="s">
        <v>342</v>
      </c>
      <c r="K25" s="5" t="s">
        <v>1586</v>
      </c>
      <c r="L25" s="5" t="s">
        <v>32</v>
      </c>
      <c r="M25" s="5" t="s">
        <v>265</v>
      </c>
      <c r="N25" s="5" t="s">
        <v>28</v>
      </c>
      <c r="O25" s="5"/>
      <c r="P25" s="5"/>
    </row>
    <row r="26" customFormat="false" ht="27.75" hidden="false" customHeight="true" outlineLevel="0" collapsed="false">
      <c r="A26" s="5" t="s">
        <v>1587</v>
      </c>
      <c r="B26" s="5" t="s">
        <v>207</v>
      </c>
      <c r="C26" s="5" t="s">
        <v>168</v>
      </c>
      <c r="D26" s="5" t="s">
        <v>1588</v>
      </c>
      <c r="E26" s="5" t="s">
        <v>1589</v>
      </c>
      <c r="F26" s="5" t="s">
        <v>368</v>
      </c>
      <c r="G26" s="5" t="s">
        <v>1590</v>
      </c>
      <c r="H26" s="5" t="s">
        <v>1591</v>
      </c>
      <c r="I26" s="5" t="s">
        <v>156</v>
      </c>
      <c r="J26" s="5" t="s">
        <v>278</v>
      </c>
      <c r="K26" s="5" t="s">
        <v>1592</v>
      </c>
      <c r="L26" s="5" t="s">
        <v>32</v>
      </c>
      <c r="M26" s="5" t="s">
        <v>265</v>
      </c>
      <c r="N26" s="5" t="s">
        <v>28</v>
      </c>
      <c r="O26" s="5"/>
      <c r="P26" s="5"/>
    </row>
    <row r="27" customFormat="false" ht="27.75" hidden="false" customHeight="true" outlineLevel="0" collapsed="false">
      <c r="A27" s="5" t="s">
        <v>1593</v>
      </c>
      <c r="B27" s="5" t="s">
        <v>207</v>
      </c>
      <c r="C27" s="5" t="s">
        <v>168</v>
      </c>
      <c r="D27" s="5" t="s">
        <v>1594</v>
      </c>
      <c r="E27" s="5" t="s">
        <v>1595</v>
      </c>
      <c r="F27" s="5" t="s">
        <v>1596</v>
      </c>
      <c r="G27" s="5" t="s">
        <v>1597</v>
      </c>
      <c r="H27" s="5" t="s">
        <v>1598</v>
      </c>
      <c r="I27" s="5" t="s">
        <v>157</v>
      </c>
      <c r="J27" s="5" t="s">
        <v>278</v>
      </c>
      <c r="K27" s="5" t="s">
        <v>1599</v>
      </c>
      <c r="L27" s="5" t="s">
        <v>32</v>
      </c>
      <c r="M27" s="5" t="s">
        <v>265</v>
      </c>
      <c r="N27" s="5" t="s">
        <v>96</v>
      </c>
      <c r="O27" s="5"/>
      <c r="P27" s="5"/>
    </row>
    <row r="28" customFormat="false" ht="27.75" hidden="false" customHeight="true" outlineLevel="0" collapsed="false">
      <c r="A28" s="5" t="s">
        <v>1600</v>
      </c>
      <c r="B28" s="5" t="s">
        <v>208</v>
      </c>
      <c r="C28" s="5" t="s">
        <v>168</v>
      </c>
      <c r="D28" s="5" t="s">
        <v>1601</v>
      </c>
      <c r="E28" s="5" t="s">
        <v>1602</v>
      </c>
      <c r="F28" s="5" t="s">
        <v>368</v>
      </c>
      <c r="G28" s="5" t="s">
        <v>1603</v>
      </c>
      <c r="H28" s="5" t="s">
        <v>1604</v>
      </c>
      <c r="I28" s="5" t="s">
        <v>156</v>
      </c>
      <c r="J28" s="5" t="s">
        <v>263</v>
      </c>
      <c r="K28" s="5" t="s">
        <v>1605</v>
      </c>
      <c r="L28" s="5" t="s">
        <v>32</v>
      </c>
      <c r="M28" s="5" t="s">
        <v>265</v>
      </c>
      <c r="N28" s="5" t="s">
        <v>28</v>
      </c>
      <c r="O28" s="5"/>
      <c r="P28" s="5"/>
    </row>
    <row r="29" customFormat="false" ht="27.75" hidden="false" customHeight="true" outlineLevel="0" collapsed="false">
      <c r="A29" s="5" t="s">
        <v>1606</v>
      </c>
      <c r="B29" s="5" t="s">
        <v>208</v>
      </c>
      <c r="C29" s="5" t="s">
        <v>168</v>
      </c>
      <c r="D29" s="5" t="s">
        <v>1607</v>
      </c>
      <c r="E29" s="5" t="s">
        <v>1608</v>
      </c>
      <c r="F29" s="5" t="s">
        <v>368</v>
      </c>
      <c r="G29" s="5" t="s">
        <v>1609</v>
      </c>
      <c r="H29" s="5" t="s">
        <v>1610</v>
      </c>
      <c r="I29" s="5" t="s">
        <v>156</v>
      </c>
      <c r="J29" s="5" t="s">
        <v>263</v>
      </c>
      <c r="K29" s="5" t="s">
        <v>1611</v>
      </c>
      <c r="L29" s="5" t="s">
        <v>32</v>
      </c>
      <c r="M29" s="5" t="s">
        <v>265</v>
      </c>
      <c r="N29" s="5" t="s">
        <v>28</v>
      </c>
      <c r="O29" s="5"/>
      <c r="P29" s="5"/>
    </row>
    <row r="30" customFormat="false" ht="27.75" hidden="false" customHeight="true" outlineLevel="0" collapsed="false">
      <c r="A30" s="5" t="s">
        <v>1612</v>
      </c>
      <c r="B30" s="5" t="s">
        <v>208</v>
      </c>
      <c r="C30" s="5" t="s">
        <v>168</v>
      </c>
      <c r="D30" s="5" t="s">
        <v>1613</v>
      </c>
      <c r="E30" s="5" t="s">
        <v>1273</v>
      </c>
      <c r="F30" s="5" t="s">
        <v>368</v>
      </c>
      <c r="G30" s="5" t="s">
        <v>1614</v>
      </c>
      <c r="H30" s="5" t="s">
        <v>1615</v>
      </c>
      <c r="I30" s="5" t="s">
        <v>156</v>
      </c>
      <c r="J30" s="5" t="s">
        <v>278</v>
      </c>
      <c r="K30" s="5" t="s">
        <v>1616</v>
      </c>
      <c r="L30" s="5" t="s">
        <v>32</v>
      </c>
      <c r="M30" s="5" t="s">
        <v>265</v>
      </c>
      <c r="N30" s="5" t="s">
        <v>28</v>
      </c>
      <c r="O30" s="5"/>
      <c r="P30" s="5"/>
    </row>
    <row r="31" customFormat="false" ht="27.75" hidden="false" customHeight="true" outlineLevel="0" collapsed="false">
      <c r="A31" s="5" t="s">
        <v>1617</v>
      </c>
      <c r="B31" s="5" t="s">
        <v>209</v>
      </c>
      <c r="C31" s="5" t="s">
        <v>168</v>
      </c>
      <c r="D31" s="5" t="s">
        <v>1618</v>
      </c>
      <c r="E31" s="5" t="s">
        <v>1619</v>
      </c>
      <c r="F31" s="5" t="s">
        <v>1620</v>
      </c>
      <c r="G31" s="5" t="s">
        <v>1621</v>
      </c>
      <c r="H31" s="5" t="s">
        <v>1622</v>
      </c>
      <c r="I31" s="5" t="s">
        <v>156</v>
      </c>
      <c r="J31" s="5" t="s">
        <v>253</v>
      </c>
      <c r="K31" s="5" t="s">
        <v>1623</v>
      </c>
      <c r="L31" s="5" t="s">
        <v>32</v>
      </c>
      <c r="M31" s="5" t="s">
        <v>265</v>
      </c>
      <c r="N31" s="5" t="s">
        <v>28</v>
      </c>
      <c r="O31" s="5"/>
      <c r="P31" s="5"/>
    </row>
    <row r="32" customFormat="false" ht="27.75" hidden="false" customHeight="true" outlineLevel="0" collapsed="false">
      <c r="A32" s="5" t="s">
        <v>1624</v>
      </c>
      <c r="B32" s="5" t="s">
        <v>209</v>
      </c>
      <c r="C32" s="5" t="s">
        <v>168</v>
      </c>
      <c r="D32" s="5" t="s">
        <v>1625</v>
      </c>
      <c r="E32" s="5" t="s">
        <v>1619</v>
      </c>
      <c r="F32" s="5" t="s">
        <v>1626</v>
      </c>
      <c r="G32" s="5" t="s">
        <v>1627</v>
      </c>
      <c r="H32" s="5" t="s">
        <v>1628</v>
      </c>
      <c r="I32" s="5" t="s">
        <v>156</v>
      </c>
      <c r="J32" s="5" t="s">
        <v>253</v>
      </c>
      <c r="K32" s="5" t="s">
        <v>1629</v>
      </c>
      <c r="L32" s="5" t="s">
        <v>32</v>
      </c>
      <c r="M32" s="5" t="s">
        <v>265</v>
      </c>
      <c r="N32" s="5" t="s">
        <v>28</v>
      </c>
      <c r="O32" s="5"/>
      <c r="P32" s="5"/>
    </row>
    <row r="33" customFormat="false" ht="27.75" hidden="false" customHeight="true" outlineLevel="0" collapsed="false">
      <c r="A33" s="5" t="s">
        <v>1630</v>
      </c>
      <c r="B33" s="5" t="s">
        <v>209</v>
      </c>
      <c r="C33" s="5" t="s">
        <v>168</v>
      </c>
      <c r="D33" s="5" t="s">
        <v>1631</v>
      </c>
      <c r="E33" s="5" t="s">
        <v>1632</v>
      </c>
      <c r="F33" s="5" t="s">
        <v>368</v>
      </c>
      <c r="G33" s="5" t="s">
        <v>1633</v>
      </c>
      <c r="H33" s="5" t="s">
        <v>1634</v>
      </c>
      <c r="I33" s="5" t="s">
        <v>156</v>
      </c>
      <c r="J33" s="5" t="s">
        <v>253</v>
      </c>
      <c r="K33" s="5" t="s">
        <v>1635</v>
      </c>
      <c r="L33" s="5" t="s">
        <v>32</v>
      </c>
      <c r="M33" s="5" t="s">
        <v>265</v>
      </c>
      <c r="N33" s="5" t="s">
        <v>28</v>
      </c>
      <c r="O33" s="5"/>
      <c r="P33" s="5"/>
    </row>
    <row r="34" customFormat="false" ht="27.75" hidden="false" customHeight="true" outlineLevel="0" collapsed="false">
      <c r="A34" s="5" t="s">
        <v>1636</v>
      </c>
      <c r="B34" s="5" t="s">
        <v>209</v>
      </c>
      <c r="C34" s="5" t="s">
        <v>168</v>
      </c>
      <c r="D34" s="5" t="s">
        <v>1637</v>
      </c>
      <c r="E34" s="5" t="s">
        <v>1619</v>
      </c>
      <c r="F34" s="5" t="s">
        <v>368</v>
      </c>
      <c r="G34" s="5" t="s">
        <v>1638</v>
      </c>
      <c r="H34" s="5" t="s">
        <v>1639</v>
      </c>
      <c r="I34" s="5" t="s">
        <v>156</v>
      </c>
      <c r="J34" s="5" t="s">
        <v>253</v>
      </c>
      <c r="K34" s="5" t="s">
        <v>1640</v>
      </c>
      <c r="L34" s="5" t="s">
        <v>32</v>
      </c>
      <c r="M34" s="5" t="s">
        <v>265</v>
      </c>
      <c r="N34" s="5" t="s">
        <v>28</v>
      </c>
      <c r="O34" s="5"/>
      <c r="P34" s="5"/>
    </row>
    <row r="35" customFormat="false" ht="27.75" hidden="false" customHeight="true" outlineLevel="0" collapsed="false">
      <c r="A35" s="5" t="s">
        <v>1641</v>
      </c>
      <c r="B35" s="5" t="s">
        <v>209</v>
      </c>
      <c r="C35" s="5" t="s">
        <v>168</v>
      </c>
      <c r="D35" s="5" t="s">
        <v>1642</v>
      </c>
      <c r="E35" s="5" t="s">
        <v>1643</v>
      </c>
      <c r="F35" s="5" t="s">
        <v>368</v>
      </c>
      <c r="G35" s="5" t="s">
        <v>1644</v>
      </c>
      <c r="H35" s="5" t="s">
        <v>1645</v>
      </c>
      <c r="I35" s="5" t="s">
        <v>156</v>
      </c>
      <c r="J35" s="5" t="s">
        <v>253</v>
      </c>
      <c r="K35" s="5" t="s">
        <v>1646</v>
      </c>
      <c r="L35" s="5" t="s">
        <v>32</v>
      </c>
      <c r="M35" s="5" t="s">
        <v>265</v>
      </c>
      <c r="N35" s="5" t="s">
        <v>28</v>
      </c>
      <c r="O35" s="5"/>
      <c r="P35" s="5"/>
    </row>
    <row r="36" customFormat="false" ht="27.75" hidden="false" customHeight="true" outlineLevel="0" collapsed="false">
      <c r="A36" s="5" t="s">
        <v>1647</v>
      </c>
      <c r="B36" s="5" t="s">
        <v>209</v>
      </c>
      <c r="C36" s="5" t="s">
        <v>168</v>
      </c>
      <c r="D36" s="5" t="s">
        <v>1648</v>
      </c>
      <c r="E36" s="5" t="s">
        <v>1649</v>
      </c>
      <c r="F36" s="5" t="s">
        <v>368</v>
      </c>
      <c r="G36" s="5" t="s">
        <v>1644</v>
      </c>
      <c r="H36" s="5" t="s">
        <v>1650</v>
      </c>
      <c r="I36" s="5" t="s">
        <v>157</v>
      </c>
      <c r="J36" s="5" t="s">
        <v>253</v>
      </c>
      <c r="K36" s="5" t="s">
        <v>1651</v>
      </c>
      <c r="L36" s="5" t="s">
        <v>32</v>
      </c>
      <c r="M36" s="5" t="s">
        <v>265</v>
      </c>
      <c r="N36" s="5" t="s">
        <v>96</v>
      </c>
      <c r="O36" s="5"/>
      <c r="P36" s="5"/>
    </row>
    <row r="37" customFormat="false" ht="27.75" hidden="false" customHeight="true" outlineLevel="0" collapsed="false">
      <c r="A37" s="5" t="s">
        <v>1652</v>
      </c>
      <c r="B37" s="5" t="s">
        <v>209</v>
      </c>
      <c r="C37" s="5" t="s">
        <v>168</v>
      </c>
      <c r="D37" s="5" t="s">
        <v>1653</v>
      </c>
      <c r="E37" s="5" t="s">
        <v>1654</v>
      </c>
      <c r="F37" s="5" t="s">
        <v>1655</v>
      </c>
      <c r="G37" s="5" t="s">
        <v>1656</v>
      </c>
      <c r="H37" s="5" t="s">
        <v>1657</v>
      </c>
      <c r="I37" s="5" t="s">
        <v>156</v>
      </c>
      <c r="J37" s="5" t="s">
        <v>253</v>
      </c>
      <c r="K37" s="5" t="s">
        <v>1658</v>
      </c>
      <c r="L37" s="5" t="s">
        <v>32</v>
      </c>
      <c r="M37" s="5" t="s">
        <v>265</v>
      </c>
      <c r="N37" s="5" t="s">
        <v>96</v>
      </c>
      <c r="O37" s="5"/>
      <c r="P37" s="5"/>
    </row>
    <row r="38" customFormat="false" ht="27.75" hidden="false" customHeight="true" outlineLevel="0" collapsed="false">
      <c r="A38" s="5" t="s">
        <v>1659</v>
      </c>
      <c r="B38" s="5" t="s">
        <v>209</v>
      </c>
      <c r="C38" s="5" t="s">
        <v>168</v>
      </c>
      <c r="D38" s="5" t="s">
        <v>1660</v>
      </c>
      <c r="E38" s="5" t="s">
        <v>1661</v>
      </c>
      <c r="F38" s="5" t="s">
        <v>1662</v>
      </c>
      <c r="G38" s="5" t="s">
        <v>1663</v>
      </c>
      <c r="H38" s="5" t="s">
        <v>1664</v>
      </c>
      <c r="I38" s="5" t="s">
        <v>157</v>
      </c>
      <c r="J38" s="5" t="s">
        <v>286</v>
      </c>
      <c r="K38" s="5" t="s">
        <v>1665</v>
      </c>
      <c r="L38" s="5" t="s">
        <v>32</v>
      </c>
      <c r="M38" s="5" t="s">
        <v>265</v>
      </c>
      <c r="N38" s="5" t="s">
        <v>96</v>
      </c>
      <c r="O38" s="5"/>
      <c r="P38" s="5"/>
    </row>
    <row r="39" customFormat="false" ht="27.75" hidden="false" customHeight="true" outlineLevel="0" collapsed="false">
      <c r="A39" s="5" t="s">
        <v>1666</v>
      </c>
      <c r="B39" s="5" t="s">
        <v>209</v>
      </c>
      <c r="C39" s="5" t="s">
        <v>168</v>
      </c>
      <c r="D39" s="5" t="s">
        <v>1667</v>
      </c>
      <c r="E39" s="5" t="s">
        <v>1668</v>
      </c>
      <c r="F39" s="5" t="s">
        <v>368</v>
      </c>
      <c r="G39" s="5" t="s">
        <v>675</v>
      </c>
      <c r="H39" s="5" t="s">
        <v>1669</v>
      </c>
      <c r="I39" s="5" t="s">
        <v>156</v>
      </c>
      <c r="J39" s="5" t="s">
        <v>263</v>
      </c>
      <c r="K39" s="5" t="s">
        <v>1670</v>
      </c>
      <c r="L39" s="5" t="s">
        <v>32</v>
      </c>
      <c r="M39" s="5" t="s">
        <v>265</v>
      </c>
      <c r="N39" s="5" t="s">
        <v>28</v>
      </c>
      <c r="O39" s="5"/>
      <c r="P39" s="5"/>
    </row>
    <row r="40" customFormat="false" ht="27.75" hidden="false" customHeight="true" outlineLevel="0" collapsed="false">
      <c r="A40" s="5" t="s">
        <v>1671</v>
      </c>
      <c r="B40" s="5" t="s">
        <v>209</v>
      </c>
      <c r="C40" s="5" t="s">
        <v>168</v>
      </c>
      <c r="D40" s="5" t="s">
        <v>1672</v>
      </c>
      <c r="E40" s="5" t="s">
        <v>1673</v>
      </c>
      <c r="F40" s="5" t="s">
        <v>368</v>
      </c>
      <c r="G40" s="5" t="s">
        <v>1674</v>
      </c>
      <c r="H40" s="5" t="s">
        <v>1675</v>
      </c>
      <c r="I40" s="5" t="s">
        <v>156</v>
      </c>
      <c r="J40" s="5" t="s">
        <v>286</v>
      </c>
      <c r="K40" s="5" t="s">
        <v>1676</v>
      </c>
      <c r="L40" s="5" t="s">
        <v>32</v>
      </c>
      <c r="M40" s="5" t="s">
        <v>265</v>
      </c>
      <c r="N40" s="5" t="s">
        <v>28</v>
      </c>
      <c r="O40" s="5"/>
      <c r="P40" s="5"/>
    </row>
    <row r="41" customFormat="false" ht="27.75" hidden="false" customHeight="true" outlineLevel="0" collapsed="false">
      <c r="A41" s="5" t="s">
        <v>1677</v>
      </c>
      <c r="B41" s="5" t="s">
        <v>209</v>
      </c>
      <c r="C41" s="5" t="s">
        <v>168</v>
      </c>
      <c r="D41" s="5" t="s">
        <v>1678</v>
      </c>
      <c r="E41" s="5" t="s">
        <v>1679</v>
      </c>
      <c r="F41" s="5" t="s">
        <v>368</v>
      </c>
      <c r="G41" s="5" t="s">
        <v>1680</v>
      </c>
      <c r="H41" s="5" t="s">
        <v>1681</v>
      </c>
      <c r="I41" s="5" t="s">
        <v>157</v>
      </c>
      <c r="J41" s="5" t="s">
        <v>263</v>
      </c>
      <c r="K41" s="5" t="s">
        <v>1682</v>
      </c>
      <c r="L41" s="5" t="s">
        <v>32</v>
      </c>
      <c r="M41" s="5" t="s">
        <v>265</v>
      </c>
      <c r="N41" s="5" t="s">
        <v>96</v>
      </c>
      <c r="O41" s="5"/>
      <c r="P41" s="5"/>
    </row>
    <row r="42" customFormat="false" ht="27.75" hidden="false" customHeight="true" outlineLevel="0" collapsed="false">
      <c r="A42" s="5" t="s">
        <v>1683</v>
      </c>
      <c r="B42" s="5" t="s">
        <v>209</v>
      </c>
      <c r="C42" s="5" t="s">
        <v>168</v>
      </c>
      <c r="D42" s="5" t="s">
        <v>1684</v>
      </c>
      <c r="E42" s="5" t="s">
        <v>1685</v>
      </c>
      <c r="F42" s="5" t="s">
        <v>368</v>
      </c>
      <c r="G42" s="5" t="s">
        <v>1686</v>
      </c>
      <c r="H42" s="5" t="s">
        <v>924</v>
      </c>
      <c r="I42" s="5" t="s">
        <v>156</v>
      </c>
      <c r="J42" s="5" t="s">
        <v>278</v>
      </c>
      <c r="K42" s="5" t="s">
        <v>1687</v>
      </c>
      <c r="L42" s="5" t="s">
        <v>32</v>
      </c>
      <c r="M42" s="5" t="s">
        <v>265</v>
      </c>
      <c r="N42" s="5" t="s">
        <v>28</v>
      </c>
      <c r="O42" s="5"/>
      <c r="P42" s="5"/>
    </row>
    <row r="43" customFormat="false" ht="27.75" hidden="false" customHeight="true" outlineLevel="0" collapsed="false">
      <c r="A43" s="5" t="s">
        <v>1688</v>
      </c>
      <c r="B43" s="5" t="s">
        <v>210</v>
      </c>
      <c r="C43" s="5" t="s">
        <v>168</v>
      </c>
      <c r="D43" s="5" t="s">
        <v>1689</v>
      </c>
      <c r="E43" s="5" t="s">
        <v>1690</v>
      </c>
      <c r="F43" s="5" t="s">
        <v>368</v>
      </c>
      <c r="G43" s="5" t="s">
        <v>1691</v>
      </c>
      <c r="H43" s="5" t="s">
        <v>1692</v>
      </c>
      <c r="I43" s="5" t="s">
        <v>156</v>
      </c>
      <c r="J43" s="5" t="s">
        <v>263</v>
      </c>
      <c r="K43" s="5" t="s">
        <v>1693</v>
      </c>
      <c r="L43" s="5" t="s">
        <v>32</v>
      </c>
      <c r="M43" s="5" t="s">
        <v>265</v>
      </c>
      <c r="N43" s="5" t="s">
        <v>28</v>
      </c>
      <c r="O43" s="5"/>
      <c r="P43" s="5"/>
    </row>
    <row r="44" customFormat="false" ht="27.75" hidden="false" customHeight="true" outlineLevel="0" collapsed="false">
      <c r="A44" s="5" t="s">
        <v>1694</v>
      </c>
      <c r="B44" s="5" t="s">
        <v>210</v>
      </c>
      <c r="C44" s="5" t="s">
        <v>168</v>
      </c>
      <c r="D44" s="5" t="s">
        <v>1695</v>
      </c>
      <c r="E44" s="5" t="s">
        <v>1696</v>
      </c>
      <c r="F44" s="5" t="s">
        <v>368</v>
      </c>
      <c r="G44" s="5" t="s">
        <v>1697</v>
      </c>
      <c r="H44" s="5" t="s">
        <v>1698</v>
      </c>
      <c r="I44" s="5" t="s">
        <v>156</v>
      </c>
      <c r="J44" s="5" t="s">
        <v>263</v>
      </c>
      <c r="K44" s="5" t="s">
        <v>1699</v>
      </c>
      <c r="L44" s="5" t="s">
        <v>32</v>
      </c>
      <c r="M44" s="5" t="s">
        <v>265</v>
      </c>
      <c r="N44" s="5" t="s">
        <v>28</v>
      </c>
      <c r="O44" s="5"/>
      <c r="P44" s="5"/>
    </row>
    <row r="45" customFormat="false" ht="27.75" hidden="false" customHeight="true" outlineLevel="0" collapsed="false">
      <c r="A45" s="5" t="s">
        <v>1700</v>
      </c>
      <c r="B45" s="5" t="s">
        <v>210</v>
      </c>
      <c r="C45" s="5" t="s">
        <v>168</v>
      </c>
      <c r="D45" s="5" t="s">
        <v>1701</v>
      </c>
      <c r="E45" s="5" t="s">
        <v>1702</v>
      </c>
      <c r="F45" s="5" t="s">
        <v>368</v>
      </c>
      <c r="G45" s="5" t="s">
        <v>1697</v>
      </c>
      <c r="H45" s="5" t="s">
        <v>1703</v>
      </c>
      <c r="I45" s="5" t="s">
        <v>157</v>
      </c>
      <c r="J45" s="5" t="s">
        <v>263</v>
      </c>
      <c r="K45" s="5" t="s">
        <v>1704</v>
      </c>
      <c r="L45" s="5" t="s">
        <v>32</v>
      </c>
      <c r="M45" s="5" t="s">
        <v>265</v>
      </c>
      <c r="N45" s="5" t="s">
        <v>96</v>
      </c>
      <c r="O45" s="5"/>
      <c r="P45" s="5"/>
    </row>
    <row r="46" customFormat="false" ht="27.75" hidden="false" customHeight="true" outlineLevel="0" collapsed="false">
      <c r="A46" s="5" t="s">
        <v>1705</v>
      </c>
      <c r="B46" s="5" t="s">
        <v>210</v>
      </c>
      <c r="C46" s="5" t="s">
        <v>168</v>
      </c>
      <c r="D46" s="5" t="s">
        <v>1706</v>
      </c>
      <c r="E46" s="5" t="s">
        <v>1707</v>
      </c>
      <c r="F46" s="5" t="s">
        <v>368</v>
      </c>
      <c r="G46" s="5" t="s">
        <v>1708</v>
      </c>
      <c r="H46" s="5" t="s">
        <v>1709</v>
      </c>
      <c r="I46" s="5" t="s">
        <v>156</v>
      </c>
      <c r="J46" s="5" t="s">
        <v>253</v>
      </c>
      <c r="K46" s="5" t="s">
        <v>1710</v>
      </c>
      <c r="L46" s="5" t="s">
        <v>32</v>
      </c>
      <c r="M46" s="5" t="s">
        <v>265</v>
      </c>
      <c r="N46" s="5" t="s">
        <v>28</v>
      </c>
      <c r="O46" s="5"/>
      <c r="P46" s="5"/>
    </row>
    <row r="47" customFormat="false" ht="27.75" hidden="false" customHeight="true" outlineLevel="0" collapsed="false">
      <c r="A47" s="5" t="s">
        <v>1711</v>
      </c>
      <c r="B47" s="5" t="s">
        <v>210</v>
      </c>
      <c r="C47" s="5" t="s">
        <v>168</v>
      </c>
      <c r="D47" s="5" t="s">
        <v>1712</v>
      </c>
      <c r="E47" s="5" t="s">
        <v>1713</v>
      </c>
      <c r="F47" s="5" t="s">
        <v>368</v>
      </c>
      <c r="G47" s="5" t="s">
        <v>1714</v>
      </c>
      <c r="H47" s="5" t="s">
        <v>1715</v>
      </c>
      <c r="I47" s="5" t="s">
        <v>156</v>
      </c>
      <c r="J47" s="5" t="s">
        <v>278</v>
      </c>
      <c r="K47" s="5" t="s">
        <v>1716</v>
      </c>
      <c r="L47" s="5" t="s">
        <v>32</v>
      </c>
      <c r="M47" s="5" t="s">
        <v>265</v>
      </c>
      <c r="N47" s="5" t="s">
        <v>28</v>
      </c>
      <c r="O47" s="5"/>
      <c r="P47" s="5"/>
    </row>
    <row r="48" customFormat="false" ht="41.25" hidden="false" customHeight="true" outlineLevel="0" collapsed="false">
      <c r="A48" s="5" t="s">
        <v>1717</v>
      </c>
      <c r="B48" s="5" t="s">
        <v>211</v>
      </c>
      <c r="C48" s="5" t="s">
        <v>168</v>
      </c>
      <c r="D48" s="5" t="s">
        <v>1718</v>
      </c>
      <c r="E48" s="5" t="s">
        <v>1719</v>
      </c>
      <c r="F48" s="5" t="s">
        <v>1720</v>
      </c>
      <c r="G48" s="5" t="s">
        <v>1721</v>
      </c>
      <c r="H48" s="5" t="s">
        <v>1722</v>
      </c>
      <c r="I48" s="5" t="s">
        <v>156</v>
      </c>
      <c r="J48" s="5" t="s">
        <v>263</v>
      </c>
      <c r="K48" s="5" t="s">
        <v>1723</v>
      </c>
      <c r="L48" s="5" t="s">
        <v>32</v>
      </c>
      <c r="M48" s="5" t="s">
        <v>265</v>
      </c>
      <c r="N48" s="5" t="s">
        <v>28</v>
      </c>
      <c r="O48" s="5"/>
      <c r="P48" s="5"/>
    </row>
    <row r="49" customFormat="false" ht="27.75" hidden="false" customHeight="true" outlineLevel="0" collapsed="false">
      <c r="A49" s="5" t="s">
        <v>1724</v>
      </c>
      <c r="B49" s="5" t="s">
        <v>211</v>
      </c>
      <c r="C49" s="5" t="s">
        <v>168</v>
      </c>
      <c r="D49" s="5" t="s">
        <v>1725</v>
      </c>
      <c r="E49" s="5" t="s">
        <v>1719</v>
      </c>
      <c r="F49" s="5" t="s">
        <v>1726</v>
      </c>
      <c r="G49" s="5" t="s">
        <v>1727</v>
      </c>
      <c r="H49" s="5" t="s">
        <v>1728</v>
      </c>
      <c r="I49" s="5" t="s">
        <v>156</v>
      </c>
      <c r="J49" s="5" t="s">
        <v>286</v>
      </c>
      <c r="K49" s="5" t="s">
        <v>1729</v>
      </c>
      <c r="L49" s="5" t="s">
        <v>32</v>
      </c>
      <c r="M49" s="5" t="s">
        <v>265</v>
      </c>
      <c r="N49" s="5" t="s">
        <v>28</v>
      </c>
      <c r="O49" s="5"/>
      <c r="P49" s="5"/>
    </row>
    <row r="50" customFormat="false" ht="41.25" hidden="false" customHeight="true" outlineLevel="0" collapsed="false">
      <c r="A50" s="5" t="s">
        <v>1730</v>
      </c>
      <c r="B50" s="5" t="s">
        <v>211</v>
      </c>
      <c r="C50" s="5" t="s">
        <v>168</v>
      </c>
      <c r="D50" s="5" t="s">
        <v>1731</v>
      </c>
      <c r="E50" s="5" t="s">
        <v>1732</v>
      </c>
      <c r="F50" s="5" t="s">
        <v>1733</v>
      </c>
      <c r="G50" s="5" t="s">
        <v>1734</v>
      </c>
      <c r="H50" s="5" t="s">
        <v>1735</v>
      </c>
      <c r="I50" s="5" t="s">
        <v>156</v>
      </c>
      <c r="J50" s="5" t="s">
        <v>263</v>
      </c>
      <c r="K50" s="5" t="s">
        <v>1736</v>
      </c>
      <c r="L50" s="5" t="s">
        <v>32</v>
      </c>
      <c r="M50" s="5" t="s">
        <v>265</v>
      </c>
      <c r="N50" s="5" t="s">
        <v>28</v>
      </c>
      <c r="O50" s="5"/>
      <c r="P50" s="5"/>
    </row>
    <row r="51" customFormat="false" ht="27.75" hidden="false" customHeight="true" outlineLevel="0" collapsed="false">
      <c r="A51" s="5" t="s">
        <v>1737</v>
      </c>
      <c r="B51" s="5" t="s">
        <v>211</v>
      </c>
      <c r="C51" s="5" t="s">
        <v>168</v>
      </c>
      <c r="D51" s="5" t="s">
        <v>1738</v>
      </c>
      <c r="E51" s="5" t="s">
        <v>1732</v>
      </c>
      <c r="F51" s="5" t="s">
        <v>1739</v>
      </c>
      <c r="G51" s="5" t="s">
        <v>1740</v>
      </c>
      <c r="H51" s="5" t="s">
        <v>1741</v>
      </c>
      <c r="I51" s="5" t="s">
        <v>158</v>
      </c>
      <c r="J51" s="5" t="s">
        <v>311</v>
      </c>
      <c r="K51" s="5" t="s">
        <v>1742</v>
      </c>
      <c r="L51" s="5" t="s">
        <v>32</v>
      </c>
      <c r="M51" s="5" t="s">
        <v>265</v>
      </c>
      <c r="N51" s="5" t="s">
        <v>96</v>
      </c>
      <c r="O51" s="5"/>
      <c r="P51" s="5"/>
    </row>
    <row r="52" customFormat="false" ht="41.25" hidden="false" customHeight="true" outlineLevel="0" collapsed="false">
      <c r="A52" s="5" t="s">
        <v>1743</v>
      </c>
      <c r="B52" s="5" t="s">
        <v>212</v>
      </c>
      <c r="C52" s="5" t="s">
        <v>168</v>
      </c>
      <c r="D52" s="5" t="s">
        <v>1744</v>
      </c>
      <c r="E52" s="5" t="s">
        <v>1745</v>
      </c>
      <c r="F52" s="5" t="s">
        <v>1746</v>
      </c>
      <c r="G52" s="5" t="s">
        <v>1747</v>
      </c>
      <c r="H52" s="5" t="s">
        <v>1748</v>
      </c>
      <c r="I52" s="5" t="s">
        <v>157</v>
      </c>
      <c r="J52" s="5" t="s">
        <v>263</v>
      </c>
      <c r="K52" s="5" t="s">
        <v>1749</v>
      </c>
      <c r="L52" s="5" t="s">
        <v>32</v>
      </c>
      <c r="M52" s="5" t="s">
        <v>265</v>
      </c>
      <c r="N52" s="5" t="s">
        <v>96</v>
      </c>
      <c r="O52" s="5"/>
      <c r="P52" s="5"/>
    </row>
    <row r="53" customFormat="false" ht="27.75" hidden="false" customHeight="true" outlineLevel="0" collapsed="false">
      <c r="A53" s="5" t="s">
        <v>1750</v>
      </c>
      <c r="B53" s="5" t="s">
        <v>212</v>
      </c>
      <c r="C53" s="5" t="s">
        <v>168</v>
      </c>
      <c r="D53" s="5" t="s">
        <v>1751</v>
      </c>
      <c r="E53" s="5" t="s">
        <v>1752</v>
      </c>
      <c r="F53" s="5" t="s">
        <v>368</v>
      </c>
      <c r="G53" s="5" t="s">
        <v>1753</v>
      </c>
      <c r="H53" s="5" t="s">
        <v>1754</v>
      </c>
      <c r="I53" s="5" t="s">
        <v>156</v>
      </c>
      <c r="J53" s="5" t="s">
        <v>342</v>
      </c>
      <c r="K53" s="5" t="s">
        <v>1755</v>
      </c>
      <c r="L53" s="5" t="s">
        <v>32</v>
      </c>
      <c r="M53" s="5" t="s">
        <v>265</v>
      </c>
      <c r="N53" s="5" t="s">
        <v>28</v>
      </c>
      <c r="O53" s="5"/>
      <c r="P53" s="5"/>
    </row>
    <row r="54" customFormat="false" ht="27.75" hidden="false" customHeight="true" outlineLevel="0" collapsed="false">
      <c r="A54" s="5" t="s">
        <v>1756</v>
      </c>
      <c r="B54" s="5" t="s">
        <v>213</v>
      </c>
      <c r="C54" s="5" t="s">
        <v>168</v>
      </c>
      <c r="D54" s="5" t="s">
        <v>1757</v>
      </c>
      <c r="E54" s="5" t="s">
        <v>1758</v>
      </c>
      <c r="F54" s="5" t="s">
        <v>1759</v>
      </c>
      <c r="G54" s="5" t="s">
        <v>1760</v>
      </c>
      <c r="H54" s="5" t="s">
        <v>1761</v>
      </c>
      <c r="I54" s="5" t="s">
        <v>158</v>
      </c>
      <c r="J54" s="5" t="s">
        <v>263</v>
      </c>
      <c r="K54" s="5" t="s">
        <v>1762</v>
      </c>
      <c r="L54" s="5" t="s">
        <v>32</v>
      </c>
      <c r="M54" s="5" t="s">
        <v>265</v>
      </c>
      <c r="N54" s="5" t="s">
        <v>96</v>
      </c>
      <c r="O54" s="5"/>
      <c r="P54" s="5"/>
    </row>
    <row r="55" customFormat="false" ht="27.75" hidden="false" customHeight="true" outlineLevel="0" collapsed="false">
      <c r="A55" s="5" t="s">
        <v>1763</v>
      </c>
      <c r="B55" s="5" t="s">
        <v>213</v>
      </c>
      <c r="C55" s="5" t="s">
        <v>168</v>
      </c>
      <c r="D55" s="5" t="s">
        <v>1764</v>
      </c>
      <c r="E55" s="5" t="s">
        <v>1765</v>
      </c>
      <c r="F55" s="5" t="s">
        <v>368</v>
      </c>
      <c r="G55" s="5" t="s">
        <v>1766</v>
      </c>
      <c r="H55" s="5" t="s">
        <v>1767</v>
      </c>
      <c r="I55" s="5" t="s">
        <v>157</v>
      </c>
      <c r="J55" s="5" t="s">
        <v>342</v>
      </c>
      <c r="K55" s="5" t="s">
        <v>1768</v>
      </c>
      <c r="L55" s="5" t="s">
        <v>32</v>
      </c>
      <c r="M55" s="5" t="s">
        <v>265</v>
      </c>
      <c r="N55" s="5" t="s">
        <v>28</v>
      </c>
      <c r="O55" s="5"/>
      <c r="P55" s="5"/>
    </row>
    <row r="56" customFormat="false" ht="27.75" hidden="false" customHeight="true" outlineLevel="0" collapsed="false">
      <c r="A56" s="5" t="s">
        <v>1769</v>
      </c>
      <c r="B56" s="5" t="s">
        <v>214</v>
      </c>
      <c r="C56" s="5" t="s">
        <v>168</v>
      </c>
      <c r="D56" s="5" t="s">
        <v>1770</v>
      </c>
      <c r="E56" s="5" t="s">
        <v>1771</v>
      </c>
      <c r="F56" s="5" t="s">
        <v>368</v>
      </c>
      <c r="G56" s="5" t="s">
        <v>1772</v>
      </c>
      <c r="H56" s="5" t="s">
        <v>1773</v>
      </c>
      <c r="I56" s="5" t="s">
        <v>157</v>
      </c>
      <c r="J56" s="5" t="s">
        <v>263</v>
      </c>
      <c r="K56" s="5" t="s">
        <v>1774</v>
      </c>
      <c r="L56" s="5" t="s">
        <v>32</v>
      </c>
      <c r="M56" s="5" t="s">
        <v>265</v>
      </c>
      <c r="N56" s="5" t="s">
        <v>96</v>
      </c>
      <c r="O56" s="5"/>
      <c r="P56" s="5"/>
    </row>
    <row r="57" customFormat="false" ht="27.75" hidden="false" customHeight="true" outlineLevel="0" collapsed="false">
      <c r="A57" s="5" t="s">
        <v>1775</v>
      </c>
      <c r="B57" s="5" t="s">
        <v>214</v>
      </c>
      <c r="C57" s="5" t="s">
        <v>168</v>
      </c>
      <c r="D57" s="5" t="s">
        <v>1776</v>
      </c>
      <c r="E57" s="5" t="s">
        <v>1777</v>
      </c>
      <c r="F57" s="5" t="s">
        <v>368</v>
      </c>
      <c r="G57" s="5" t="s">
        <v>1778</v>
      </c>
      <c r="H57" s="5" t="s">
        <v>1779</v>
      </c>
      <c r="I57" s="5" t="s">
        <v>158</v>
      </c>
      <c r="J57" s="5" t="s">
        <v>263</v>
      </c>
      <c r="K57" s="5" t="s">
        <v>1780</v>
      </c>
      <c r="L57" s="5" t="s">
        <v>32</v>
      </c>
      <c r="M57" s="5" t="s">
        <v>265</v>
      </c>
      <c r="N57" s="5" t="s">
        <v>96</v>
      </c>
      <c r="O57" s="5"/>
      <c r="P57" s="5"/>
    </row>
    <row r="58" customFormat="false" ht="27.75" hidden="false" customHeight="true" outlineLevel="0" collapsed="false">
      <c r="A58" s="5" t="s">
        <v>1781</v>
      </c>
      <c r="B58" s="5" t="s">
        <v>214</v>
      </c>
      <c r="C58" s="5" t="s">
        <v>168</v>
      </c>
      <c r="D58" s="5" t="s">
        <v>1782</v>
      </c>
      <c r="E58" s="5" t="s">
        <v>1783</v>
      </c>
      <c r="F58" s="5" t="s">
        <v>368</v>
      </c>
      <c r="G58" s="5" t="s">
        <v>1772</v>
      </c>
      <c r="H58" s="5" t="s">
        <v>1784</v>
      </c>
      <c r="I58" s="5" t="s">
        <v>158</v>
      </c>
      <c r="J58" s="5" t="s">
        <v>263</v>
      </c>
      <c r="K58" s="5" t="s">
        <v>1785</v>
      </c>
      <c r="L58" s="5" t="s">
        <v>32</v>
      </c>
      <c r="M58" s="5" t="s">
        <v>265</v>
      </c>
      <c r="N58" s="5" t="s">
        <v>96</v>
      </c>
      <c r="O58" s="5"/>
      <c r="P58" s="5"/>
    </row>
    <row r="59" customFormat="false" ht="41.25" hidden="false" customHeight="true" outlineLevel="0" collapsed="false">
      <c r="A59" s="5" t="s">
        <v>1786</v>
      </c>
      <c r="B59" s="5" t="s">
        <v>215</v>
      </c>
      <c r="C59" s="5" t="s">
        <v>168</v>
      </c>
      <c r="D59" s="5" t="s">
        <v>1787</v>
      </c>
      <c r="E59" s="5" t="s">
        <v>1464</v>
      </c>
      <c r="F59" s="5" t="s">
        <v>1788</v>
      </c>
      <c r="G59" s="5" t="s">
        <v>1789</v>
      </c>
      <c r="H59" s="5" t="s">
        <v>1790</v>
      </c>
      <c r="I59" s="5" t="s">
        <v>158</v>
      </c>
      <c r="J59" s="5" t="s">
        <v>263</v>
      </c>
      <c r="K59" s="5" t="s">
        <v>1791</v>
      </c>
      <c r="L59" s="5" t="s">
        <v>32</v>
      </c>
      <c r="M59" s="5" t="s">
        <v>265</v>
      </c>
      <c r="N59" s="5" t="s">
        <v>96</v>
      </c>
      <c r="O59" s="5"/>
      <c r="P59" s="5"/>
    </row>
    <row r="60" customFormat="false" ht="41.25" hidden="false" customHeight="true" outlineLevel="0" collapsed="false">
      <c r="A60" s="5" t="s">
        <v>1792</v>
      </c>
      <c r="B60" s="5" t="s">
        <v>215</v>
      </c>
      <c r="C60" s="5" t="s">
        <v>168</v>
      </c>
      <c r="D60" s="5" t="s">
        <v>1793</v>
      </c>
      <c r="E60" s="5" t="s">
        <v>1794</v>
      </c>
      <c r="F60" s="5" t="s">
        <v>1795</v>
      </c>
      <c r="G60" s="5" t="s">
        <v>1796</v>
      </c>
      <c r="H60" s="5" t="s">
        <v>1797</v>
      </c>
      <c r="I60" s="5" t="s">
        <v>158</v>
      </c>
      <c r="J60" s="5" t="s">
        <v>263</v>
      </c>
      <c r="K60" s="5" t="s">
        <v>1798</v>
      </c>
      <c r="L60" s="5" t="s">
        <v>32</v>
      </c>
      <c r="M60" s="5" t="s">
        <v>265</v>
      </c>
      <c r="N60" s="5" t="s">
        <v>96</v>
      </c>
      <c r="O60" s="5"/>
      <c r="P60" s="5"/>
    </row>
    <row r="61" customFormat="false" ht="41.25" hidden="false" customHeight="true" outlineLevel="0" collapsed="false">
      <c r="A61" s="5" t="s">
        <v>1799</v>
      </c>
      <c r="B61" s="5" t="s">
        <v>215</v>
      </c>
      <c r="C61" s="5" t="s">
        <v>168</v>
      </c>
      <c r="D61" s="5" t="s">
        <v>1800</v>
      </c>
      <c r="E61" s="5" t="s">
        <v>1801</v>
      </c>
      <c r="F61" s="5" t="s">
        <v>368</v>
      </c>
      <c r="G61" s="5" t="s">
        <v>1802</v>
      </c>
      <c r="H61" s="5" t="s">
        <v>1803</v>
      </c>
      <c r="I61" s="5" t="s">
        <v>158</v>
      </c>
      <c r="J61" s="5" t="s">
        <v>263</v>
      </c>
      <c r="K61" s="5" t="s">
        <v>1804</v>
      </c>
      <c r="L61" s="5" t="s">
        <v>32</v>
      </c>
      <c r="M61" s="5" t="s">
        <v>265</v>
      </c>
      <c r="N61" s="5" t="s">
        <v>96</v>
      </c>
      <c r="O61" s="5"/>
      <c r="P61" s="5"/>
    </row>
    <row r="62" customFormat="false" ht="27.75" hidden="false" customHeight="true" outlineLevel="0" collapsed="false">
      <c r="A62" s="5" t="s">
        <v>1805</v>
      </c>
      <c r="B62" s="5" t="s">
        <v>215</v>
      </c>
      <c r="C62" s="5" t="s">
        <v>168</v>
      </c>
      <c r="D62" s="5" t="s">
        <v>1806</v>
      </c>
      <c r="E62" s="5" t="s">
        <v>1807</v>
      </c>
      <c r="F62" s="5" t="s">
        <v>368</v>
      </c>
      <c r="G62" s="5" t="s">
        <v>1808</v>
      </c>
      <c r="H62" s="5" t="s">
        <v>1809</v>
      </c>
      <c r="I62" s="5" t="s">
        <v>158</v>
      </c>
      <c r="J62" s="5" t="s">
        <v>278</v>
      </c>
      <c r="K62" s="5" t="s">
        <v>1810</v>
      </c>
      <c r="L62" s="5" t="s">
        <v>32</v>
      </c>
      <c r="M62" s="5" t="s">
        <v>265</v>
      </c>
      <c r="N62" s="5" t="s">
        <v>96</v>
      </c>
      <c r="O62" s="5"/>
      <c r="P62" s="5"/>
    </row>
    <row r="63" customFormat="false" ht="27.75" hidden="false" customHeight="true" outlineLevel="0" collapsed="false">
      <c r="A63" s="5" t="s">
        <v>1811</v>
      </c>
      <c r="B63" s="5" t="s">
        <v>215</v>
      </c>
      <c r="C63" s="5" t="s">
        <v>168</v>
      </c>
      <c r="D63" s="5" t="s">
        <v>1812</v>
      </c>
      <c r="E63" s="5" t="s">
        <v>855</v>
      </c>
      <c r="F63" s="5" t="s">
        <v>283</v>
      </c>
      <c r="G63" s="5" t="s">
        <v>1813</v>
      </c>
      <c r="H63" s="5" t="s">
        <v>1814</v>
      </c>
      <c r="I63" s="5" t="s">
        <v>158</v>
      </c>
      <c r="J63" s="5" t="s">
        <v>286</v>
      </c>
      <c r="K63" s="5" t="s">
        <v>1815</v>
      </c>
      <c r="L63" s="5" t="s">
        <v>32</v>
      </c>
      <c r="M63" s="5" t="s">
        <v>265</v>
      </c>
      <c r="N63" s="5" t="s">
        <v>96</v>
      </c>
      <c r="O63" s="5"/>
      <c r="P63" s="5"/>
    </row>
    <row r="64" customFormat="false" ht="27.75" hidden="false" customHeight="true" outlineLevel="0" collapsed="false">
      <c r="A64" s="5" t="s">
        <v>1816</v>
      </c>
      <c r="B64" s="5" t="s">
        <v>215</v>
      </c>
      <c r="C64" s="5" t="s">
        <v>168</v>
      </c>
      <c r="D64" s="5" t="s">
        <v>1817</v>
      </c>
      <c r="E64" s="5" t="s">
        <v>855</v>
      </c>
      <c r="F64" s="5" t="s">
        <v>1818</v>
      </c>
      <c r="G64" s="5" t="s">
        <v>1819</v>
      </c>
      <c r="H64" s="5" t="s">
        <v>1820</v>
      </c>
      <c r="I64" s="5" t="s">
        <v>158</v>
      </c>
      <c r="J64" s="5" t="s">
        <v>286</v>
      </c>
      <c r="K64" s="5" t="s">
        <v>1821</v>
      </c>
      <c r="L64" s="5" t="s">
        <v>32</v>
      </c>
      <c r="M64" s="5" t="s">
        <v>265</v>
      </c>
      <c r="N64" s="5" t="s">
        <v>96</v>
      </c>
      <c r="O64" s="5"/>
      <c r="P64" s="5"/>
    </row>
    <row r="65" customFormat="false" ht="27.75" hidden="false" customHeight="true" outlineLevel="0" collapsed="false">
      <c r="A65" s="5" t="s">
        <v>1822</v>
      </c>
      <c r="B65" s="5" t="s">
        <v>215</v>
      </c>
      <c r="C65" s="5" t="s">
        <v>168</v>
      </c>
      <c r="D65" s="5" t="s">
        <v>1823</v>
      </c>
      <c r="E65" s="5" t="s">
        <v>1824</v>
      </c>
      <c r="F65" s="5" t="s">
        <v>368</v>
      </c>
      <c r="G65" s="5" t="s">
        <v>1825</v>
      </c>
      <c r="H65" s="5" t="s">
        <v>1826</v>
      </c>
      <c r="I65" s="5" t="s">
        <v>158</v>
      </c>
      <c r="J65" s="5" t="s">
        <v>263</v>
      </c>
      <c r="K65" s="5" t="s">
        <v>1827</v>
      </c>
      <c r="L65" s="5" t="s">
        <v>32</v>
      </c>
      <c r="M65" s="5" t="s">
        <v>265</v>
      </c>
      <c r="N65" s="5" t="s">
        <v>96</v>
      </c>
      <c r="O65" s="5"/>
      <c r="P65" s="5"/>
    </row>
    <row r="66" customFormat="false" ht="27.75" hidden="false" customHeight="true" outlineLevel="0" collapsed="false">
      <c r="A66" s="5" t="s">
        <v>1828</v>
      </c>
      <c r="B66" s="5" t="s">
        <v>215</v>
      </c>
      <c r="C66" s="5" t="s">
        <v>168</v>
      </c>
      <c r="D66" s="5" t="s">
        <v>1829</v>
      </c>
      <c r="E66" s="5" t="s">
        <v>1830</v>
      </c>
      <c r="F66" s="5" t="s">
        <v>1831</v>
      </c>
      <c r="G66" s="5" t="s">
        <v>1832</v>
      </c>
      <c r="H66" s="5" t="s">
        <v>1833</v>
      </c>
      <c r="I66" s="5" t="s">
        <v>158</v>
      </c>
      <c r="J66" s="5" t="s">
        <v>311</v>
      </c>
      <c r="K66" s="5" t="s">
        <v>1834</v>
      </c>
      <c r="L66" s="5" t="s">
        <v>32</v>
      </c>
      <c r="M66" s="5" t="s">
        <v>265</v>
      </c>
      <c r="N66" s="5" t="s">
        <v>96</v>
      </c>
      <c r="O66" s="5"/>
      <c r="P66" s="5"/>
    </row>
    <row r="67" customFormat="false" ht="27.75" hidden="false" customHeight="true" outlineLevel="0" collapsed="false">
      <c r="A67" s="5" t="s">
        <v>1835</v>
      </c>
      <c r="B67" s="5" t="s">
        <v>215</v>
      </c>
      <c r="C67" s="5" t="s">
        <v>168</v>
      </c>
      <c r="D67" s="5" t="s">
        <v>1836</v>
      </c>
      <c r="E67" s="5" t="s">
        <v>1837</v>
      </c>
      <c r="F67" s="5" t="s">
        <v>368</v>
      </c>
      <c r="G67" s="5" t="s">
        <v>1808</v>
      </c>
      <c r="H67" s="5" t="s">
        <v>1838</v>
      </c>
      <c r="I67" s="5" t="s">
        <v>158</v>
      </c>
      <c r="J67" s="5" t="s">
        <v>311</v>
      </c>
      <c r="K67" s="5" t="s">
        <v>1839</v>
      </c>
      <c r="L67" s="5" t="s">
        <v>32</v>
      </c>
      <c r="M67" s="5" t="s">
        <v>265</v>
      </c>
      <c r="N67" s="5" t="s">
        <v>96</v>
      </c>
      <c r="O67" s="5"/>
      <c r="P67" s="5"/>
    </row>
    <row r="68" customFormat="false" ht="27.75" hidden="false" customHeight="true" outlineLevel="0" collapsed="false">
      <c r="A68" s="5" t="s">
        <v>1840</v>
      </c>
      <c r="B68" s="5" t="s">
        <v>215</v>
      </c>
      <c r="C68" s="5" t="s">
        <v>168</v>
      </c>
      <c r="D68" s="5" t="s">
        <v>1841</v>
      </c>
      <c r="E68" s="5" t="s">
        <v>1842</v>
      </c>
      <c r="F68" s="5" t="s">
        <v>368</v>
      </c>
      <c r="G68" s="5" t="s">
        <v>1843</v>
      </c>
      <c r="H68" s="5" t="s">
        <v>1844</v>
      </c>
      <c r="I68" s="5" t="s">
        <v>158</v>
      </c>
      <c r="J68" s="5" t="s">
        <v>263</v>
      </c>
      <c r="K68" s="5" t="s">
        <v>1845</v>
      </c>
      <c r="L68" s="5" t="s">
        <v>32</v>
      </c>
      <c r="M68" s="5" t="s">
        <v>265</v>
      </c>
      <c r="N68" s="5" t="s">
        <v>96</v>
      </c>
      <c r="O68" s="5"/>
      <c r="P68" s="5"/>
    </row>
    <row r="69" customFormat="false" ht="27.75" hidden="false" customHeight="true" outlineLevel="0" collapsed="false">
      <c r="A69" s="5" t="s">
        <v>1846</v>
      </c>
      <c r="B69" s="5" t="s">
        <v>215</v>
      </c>
      <c r="C69" s="5" t="s">
        <v>168</v>
      </c>
      <c r="D69" s="5" t="s">
        <v>1847</v>
      </c>
      <c r="E69" s="5" t="s">
        <v>1595</v>
      </c>
      <c r="F69" s="5" t="s">
        <v>368</v>
      </c>
      <c r="G69" s="5" t="s">
        <v>1848</v>
      </c>
      <c r="H69" s="5" t="s">
        <v>1849</v>
      </c>
      <c r="I69" s="5" t="s">
        <v>158</v>
      </c>
      <c r="J69" s="5" t="s">
        <v>278</v>
      </c>
      <c r="K69" s="5" t="s">
        <v>1850</v>
      </c>
      <c r="L69" s="5" t="s">
        <v>32</v>
      </c>
      <c r="M69" s="5" t="s">
        <v>265</v>
      </c>
      <c r="N69" s="5" t="s">
        <v>96</v>
      </c>
      <c r="O69" s="5"/>
      <c r="P69" s="5"/>
    </row>
    <row r="70" customFormat="false" ht="27.75" hidden="false" customHeight="true" outlineLevel="0" collapsed="false">
      <c r="A70" s="5" t="s">
        <v>1851</v>
      </c>
      <c r="B70" s="5" t="s">
        <v>215</v>
      </c>
      <c r="C70" s="5" t="s">
        <v>168</v>
      </c>
      <c r="D70" s="5" t="s">
        <v>1852</v>
      </c>
      <c r="E70" s="5" t="s">
        <v>1853</v>
      </c>
      <c r="F70" s="5" t="s">
        <v>368</v>
      </c>
      <c r="G70" s="5" t="s">
        <v>1854</v>
      </c>
      <c r="H70" s="5" t="s">
        <v>1855</v>
      </c>
      <c r="I70" s="5" t="s">
        <v>158</v>
      </c>
      <c r="J70" s="5" t="s">
        <v>278</v>
      </c>
      <c r="K70" s="5" t="s">
        <v>1856</v>
      </c>
      <c r="L70" s="5" t="s">
        <v>32</v>
      </c>
      <c r="M70" s="5" t="s">
        <v>265</v>
      </c>
      <c r="N70" s="5" t="s">
        <v>96</v>
      </c>
      <c r="O70" s="5"/>
      <c r="P70" s="5"/>
    </row>
    <row r="71" customFormat="false" ht="27.75" hidden="false" customHeight="true" outlineLevel="0" collapsed="false">
      <c r="A71" s="5" t="s">
        <v>1857</v>
      </c>
      <c r="B71" s="5" t="s">
        <v>215</v>
      </c>
      <c r="C71" s="5" t="s">
        <v>168</v>
      </c>
      <c r="D71" s="5" t="s">
        <v>1858</v>
      </c>
      <c r="E71" s="5" t="s">
        <v>1859</v>
      </c>
      <c r="F71" s="5" t="s">
        <v>368</v>
      </c>
      <c r="G71" s="5" t="s">
        <v>1860</v>
      </c>
      <c r="H71" s="5" t="s">
        <v>1861</v>
      </c>
      <c r="I71" s="5" t="s">
        <v>158</v>
      </c>
      <c r="J71" s="5" t="s">
        <v>263</v>
      </c>
      <c r="K71" s="5" t="s">
        <v>1862</v>
      </c>
      <c r="L71" s="5" t="s">
        <v>32</v>
      </c>
      <c r="M71" s="5" t="s">
        <v>265</v>
      </c>
      <c r="N71" s="5" t="s">
        <v>96</v>
      </c>
      <c r="O71" s="5"/>
      <c r="P71" s="5"/>
    </row>
    <row r="72" customFormat="false" ht="41.25" hidden="false" customHeight="true" outlineLevel="0" collapsed="false">
      <c r="A72" s="5" t="s">
        <v>1863</v>
      </c>
      <c r="B72" s="5" t="s">
        <v>215</v>
      </c>
      <c r="C72" s="5" t="s">
        <v>168</v>
      </c>
      <c r="D72" s="5" t="s">
        <v>1864</v>
      </c>
      <c r="E72" s="5" t="s">
        <v>1865</v>
      </c>
      <c r="F72" s="5" t="s">
        <v>368</v>
      </c>
      <c r="G72" s="5" t="s">
        <v>1866</v>
      </c>
      <c r="H72" s="5" t="s">
        <v>1867</v>
      </c>
      <c r="I72" s="5" t="s">
        <v>158</v>
      </c>
      <c r="J72" s="5" t="s">
        <v>253</v>
      </c>
      <c r="K72" s="5" t="s">
        <v>1868</v>
      </c>
      <c r="L72" s="5" t="s">
        <v>32</v>
      </c>
      <c r="M72" s="5" t="s">
        <v>265</v>
      </c>
      <c r="N72" s="5" t="s">
        <v>96</v>
      </c>
      <c r="O72" s="5"/>
      <c r="P72" s="5"/>
    </row>
    <row r="73" customFormat="false" ht="27.75" hidden="false" customHeight="true" outlineLevel="0" collapsed="false">
      <c r="A73" s="5" t="s">
        <v>1869</v>
      </c>
      <c r="B73" s="5" t="s">
        <v>215</v>
      </c>
      <c r="C73" s="5" t="s">
        <v>168</v>
      </c>
      <c r="D73" s="5" t="s">
        <v>1870</v>
      </c>
      <c r="E73" s="5" t="s">
        <v>1871</v>
      </c>
      <c r="F73" s="5" t="s">
        <v>368</v>
      </c>
      <c r="G73" s="5" t="s">
        <v>1872</v>
      </c>
      <c r="H73" s="5" t="s">
        <v>1873</v>
      </c>
      <c r="I73" s="5" t="s">
        <v>158</v>
      </c>
      <c r="J73" s="5" t="s">
        <v>263</v>
      </c>
      <c r="K73" s="5" t="s">
        <v>1874</v>
      </c>
      <c r="L73" s="5" t="s">
        <v>32</v>
      </c>
      <c r="M73" s="5" t="s">
        <v>265</v>
      </c>
      <c r="N73" s="5" t="s">
        <v>96</v>
      </c>
      <c r="O73" s="5"/>
      <c r="P73" s="5"/>
    </row>
    <row r="74" customFormat="false" ht="27.75" hidden="false" customHeight="true" outlineLevel="0" collapsed="false">
      <c r="A74" s="5" t="s">
        <v>1875</v>
      </c>
      <c r="B74" s="5" t="s">
        <v>215</v>
      </c>
      <c r="C74" s="5" t="s">
        <v>168</v>
      </c>
      <c r="D74" s="5" t="s">
        <v>1876</v>
      </c>
      <c r="E74" s="5" t="s">
        <v>1871</v>
      </c>
      <c r="F74" s="5" t="s">
        <v>368</v>
      </c>
      <c r="G74" s="5" t="s">
        <v>1877</v>
      </c>
      <c r="H74" s="5" t="s">
        <v>1878</v>
      </c>
      <c r="I74" s="5" t="s">
        <v>158</v>
      </c>
      <c r="J74" s="5" t="s">
        <v>263</v>
      </c>
      <c r="K74" s="5" t="s">
        <v>1879</v>
      </c>
      <c r="L74" s="5" t="s">
        <v>32</v>
      </c>
      <c r="M74" s="5" t="s">
        <v>265</v>
      </c>
      <c r="N74" s="5" t="s">
        <v>96</v>
      </c>
      <c r="O74" s="5"/>
      <c r="P74" s="5"/>
    </row>
    <row r="75" customFormat="false" ht="27.75" hidden="false" customHeight="true" outlineLevel="0" collapsed="false">
      <c r="A75" s="5" t="s">
        <v>1880</v>
      </c>
      <c r="B75" s="5" t="s">
        <v>215</v>
      </c>
      <c r="C75" s="5" t="s">
        <v>168</v>
      </c>
      <c r="D75" s="5" t="s">
        <v>1881</v>
      </c>
      <c r="E75" s="5" t="s">
        <v>855</v>
      </c>
      <c r="F75" s="5" t="s">
        <v>1882</v>
      </c>
      <c r="G75" s="5" t="s">
        <v>1883</v>
      </c>
      <c r="H75" s="5" t="s">
        <v>888</v>
      </c>
      <c r="I75" s="5" t="s">
        <v>158</v>
      </c>
      <c r="J75" s="5" t="s">
        <v>342</v>
      </c>
      <c r="K75" s="5" t="s">
        <v>1884</v>
      </c>
      <c r="L75" s="5" t="s">
        <v>32</v>
      </c>
      <c r="M75" s="5" t="s">
        <v>265</v>
      </c>
      <c r="N75" s="5" t="s">
        <v>96</v>
      </c>
      <c r="O75" s="5"/>
      <c r="P75" s="5"/>
    </row>
    <row r="76" customFormat="false" ht="41.25" hidden="false" customHeight="true" outlineLevel="0" collapsed="false">
      <c r="A76" s="5" t="s">
        <v>1885</v>
      </c>
      <c r="B76" s="5" t="s">
        <v>216</v>
      </c>
      <c r="C76" s="5" t="s">
        <v>168</v>
      </c>
      <c r="D76" s="5" t="s">
        <v>1886</v>
      </c>
      <c r="E76" s="5" t="s">
        <v>1887</v>
      </c>
      <c r="F76" s="5" t="s">
        <v>1888</v>
      </c>
      <c r="G76" s="5" t="s">
        <v>1889</v>
      </c>
      <c r="H76" s="5" t="s">
        <v>1890</v>
      </c>
      <c r="I76" s="5" t="s">
        <v>157</v>
      </c>
      <c r="J76" s="5" t="s">
        <v>263</v>
      </c>
      <c r="K76" s="5" t="s">
        <v>1891</v>
      </c>
      <c r="L76" s="5" t="s">
        <v>32</v>
      </c>
      <c r="M76" s="5" t="s">
        <v>265</v>
      </c>
      <c r="N76" s="5" t="s">
        <v>28</v>
      </c>
      <c r="O76" s="5"/>
      <c r="P76" s="5"/>
    </row>
    <row r="77" customFormat="false" ht="41.25" hidden="false" customHeight="true" outlineLevel="0" collapsed="false">
      <c r="A77" s="5" t="s">
        <v>1892</v>
      </c>
      <c r="B77" s="5" t="s">
        <v>216</v>
      </c>
      <c r="C77" s="5" t="s">
        <v>168</v>
      </c>
      <c r="D77" s="5" t="s">
        <v>1893</v>
      </c>
      <c r="E77" s="5" t="s">
        <v>1894</v>
      </c>
      <c r="F77" s="5" t="s">
        <v>368</v>
      </c>
      <c r="G77" s="5" t="s">
        <v>1895</v>
      </c>
      <c r="H77" s="5" t="s">
        <v>1896</v>
      </c>
      <c r="I77" s="5" t="s">
        <v>157</v>
      </c>
      <c r="J77" s="5" t="s">
        <v>263</v>
      </c>
      <c r="K77" s="5" t="s">
        <v>1897</v>
      </c>
      <c r="L77" s="5" t="s">
        <v>32</v>
      </c>
      <c r="M77" s="5" t="s">
        <v>265</v>
      </c>
      <c r="N77" s="5" t="s">
        <v>28</v>
      </c>
      <c r="O77" s="5"/>
      <c r="P77" s="5"/>
    </row>
    <row r="78" customFormat="false" ht="54.75" hidden="false" customHeight="true" outlineLevel="0" collapsed="false">
      <c r="A78" s="5" t="s">
        <v>1898</v>
      </c>
      <c r="B78" s="5" t="s">
        <v>216</v>
      </c>
      <c r="C78" s="5" t="s">
        <v>168</v>
      </c>
      <c r="D78" s="5" t="s">
        <v>1899</v>
      </c>
      <c r="E78" s="5" t="s">
        <v>1900</v>
      </c>
      <c r="F78" s="5" t="s">
        <v>1901</v>
      </c>
      <c r="G78" s="5" t="s">
        <v>1902</v>
      </c>
      <c r="H78" s="5" t="s">
        <v>1903</v>
      </c>
      <c r="I78" s="5" t="s">
        <v>156</v>
      </c>
      <c r="J78" s="5" t="s">
        <v>278</v>
      </c>
      <c r="K78" s="5" t="s">
        <v>1904</v>
      </c>
      <c r="L78" s="5" t="s">
        <v>32</v>
      </c>
      <c r="M78" s="5" t="s">
        <v>265</v>
      </c>
      <c r="N78" s="5" t="s">
        <v>28</v>
      </c>
      <c r="O78" s="5"/>
      <c r="P78" s="5"/>
    </row>
    <row r="79" customFormat="false" ht="27.75" hidden="false" customHeight="true" outlineLevel="0" collapsed="false">
      <c r="A79" s="5" t="s">
        <v>1905</v>
      </c>
      <c r="B79" s="5" t="s">
        <v>216</v>
      </c>
      <c r="C79" s="5" t="s">
        <v>168</v>
      </c>
      <c r="D79" s="5" t="s">
        <v>1906</v>
      </c>
      <c r="E79" s="5" t="s">
        <v>1907</v>
      </c>
      <c r="F79" s="5" t="s">
        <v>368</v>
      </c>
      <c r="G79" s="5" t="s">
        <v>1908</v>
      </c>
      <c r="H79" s="5" t="s">
        <v>1168</v>
      </c>
      <c r="I79" s="5" t="s">
        <v>158</v>
      </c>
      <c r="J79" s="5" t="s">
        <v>253</v>
      </c>
      <c r="K79" s="5" t="s">
        <v>1909</v>
      </c>
      <c r="L79" s="5" t="s">
        <v>32</v>
      </c>
      <c r="M79" s="5" t="s">
        <v>265</v>
      </c>
      <c r="N79" s="5" t="s">
        <v>96</v>
      </c>
      <c r="O79" s="5"/>
      <c r="P79" s="5"/>
    </row>
    <row r="80" customFormat="false" ht="27.75" hidden="false" customHeight="true" outlineLevel="0" collapsed="false">
      <c r="A80" s="5" t="s">
        <v>1910</v>
      </c>
      <c r="B80" s="5" t="s">
        <v>216</v>
      </c>
      <c r="C80" s="5" t="s">
        <v>168</v>
      </c>
      <c r="D80" s="5" t="s">
        <v>1911</v>
      </c>
      <c r="E80" s="5" t="s">
        <v>1912</v>
      </c>
      <c r="F80" s="5" t="s">
        <v>368</v>
      </c>
      <c r="G80" s="5" t="s">
        <v>1913</v>
      </c>
      <c r="H80" s="5" t="s">
        <v>1914</v>
      </c>
      <c r="I80" s="5" t="s">
        <v>158</v>
      </c>
      <c r="J80" s="5" t="s">
        <v>263</v>
      </c>
      <c r="K80" s="5" t="s">
        <v>1915</v>
      </c>
      <c r="L80" s="5" t="s">
        <v>32</v>
      </c>
      <c r="M80" s="5" t="s">
        <v>265</v>
      </c>
      <c r="N80" s="5" t="s">
        <v>96</v>
      </c>
      <c r="O80" s="5"/>
      <c r="P80" s="5"/>
    </row>
    <row r="81" customFormat="false" ht="27.75" hidden="false" customHeight="true" outlineLevel="0" collapsed="false">
      <c r="A81" s="5" t="s">
        <v>1916</v>
      </c>
      <c r="B81" s="5" t="s">
        <v>216</v>
      </c>
      <c r="C81" s="5" t="s">
        <v>168</v>
      </c>
      <c r="D81" s="5" t="s">
        <v>1917</v>
      </c>
      <c r="E81" s="5" t="s">
        <v>1918</v>
      </c>
      <c r="F81" s="5" t="s">
        <v>368</v>
      </c>
      <c r="G81" s="5" t="s">
        <v>1919</v>
      </c>
      <c r="H81" s="5" t="s">
        <v>1920</v>
      </c>
      <c r="I81" s="5" t="s">
        <v>157</v>
      </c>
      <c r="J81" s="5" t="s">
        <v>278</v>
      </c>
      <c r="K81" s="5" t="s">
        <v>1921</v>
      </c>
      <c r="L81" s="5" t="s">
        <v>32</v>
      </c>
      <c r="M81" s="5" t="s">
        <v>265</v>
      </c>
      <c r="N81" s="5" t="s">
        <v>28</v>
      </c>
      <c r="O81" s="5"/>
      <c r="P81" s="5"/>
    </row>
    <row r="82" customFormat="false" ht="27.75" hidden="false" customHeight="true" outlineLevel="0" collapsed="false">
      <c r="A82" s="5" t="s">
        <v>1922</v>
      </c>
      <c r="B82" s="5" t="s">
        <v>217</v>
      </c>
      <c r="C82" s="5" t="s">
        <v>168</v>
      </c>
      <c r="D82" s="5" t="s">
        <v>1923</v>
      </c>
      <c r="E82" s="5" t="s">
        <v>1924</v>
      </c>
      <c r="F82" s="5" t="s">
        <v>368</v>
      </c>
      <c r="G82" s="5" t="s">
        <v>1925</v>
      </c>
      <c r="H82" s="5" t="s">
        <v>1926</v>
      </c>
      <c r="I82" s="5" t="s">
        <v>158</v>
      </c>
      <c r="J82" s="5" t="s">
        <v>263</v>
      </c>
      <c r="K82" s="5" t="s">
        <v>1927</v>
      </c>
      <c r="L82" s="5" t="s">
        <v>32</v>
      </c>
      <c r="M82" s="5" t="s">
        <v>265</v>
      </c>
      <c r="N82" s="5" t="s">
        <v>96</v>
      </c>
      <c r="O82" s="5"/>
      <c r="P82" s="5"/>
    </row>
    <row r="83" customFormat="false" ht="54.75" hidden="false" customHeight="true" outlineLevel="0" collapsed="false">
      <c r="A83" s="5" t="s">
        <v>1928</v>
      </c>
      <c r="B83" s="5" t="s">
        <v>217</v>
      </c>
      <c r="C83" s="5" t="s">
        <v>168</v>
      </c>
      <c r="D83" s="5" t="s">
        <v>1929</v>
      </c>
      <c r="E83" s="5" t="s">
        <v>1930</v>
      </c>
      <c r="F83" s="5" t="s">
        <v>1931</v>
      </c>
      <c r="G83" s="5" t="s">
        <v>1932</v>
      </c>
      <c r="H83" s="5" t="s">
        <v>1933</v>
      </c>
      <c r="I83" s="5" t="s">
        <v>158</v>
      </c>
      <c r="J83" s="5" t="s">
        <v>263</v>
      </c>
      <c r="K83" s="5" t="s">
        <v>1934</v>
      </c>
      <c r="L83" s="5" t="s">
        <v>32</v>
      </c>
      <c r="M83" s="5" t="s">
        <v>265</v>
      </c>
      <c r="N83" s="5" t="s">
        <v>96</v>
      </c>
      <c r="O83" s="5"/>
      <c r="P83" s="5"/>
    </row>
    <row r="84" customFormat="false" ht="27.75" hidden="false" customHeight="true" outlineLevel="0" collapsed="false">
      <c r="A84" s="5" t="s">
        <v>1935</v>
      </c>
      <c r="B84" s="5" t="s">
        <v>217</v>
      </c>
      <c r="C84" s="5" t="s">
        <v>168</v>
      </c>
      <c r="D84" s="5" t="s">
        <v>1936</v>
      </c>
      <c r="E84" s="5" t="s">
        <v>1937</v>
      </c>
      <c r="F84" s="5" t="s">
        <v>368</v>
      </c>
      <c r="G84" s="5" t="s">
        <v>1938</v>
      </c>
      <c r="H84" s="5" t="s">
        <v>1939</v>
      </c>
      <c r="I84" s="5" t="s">
        <v>157</v>
      </c>
      <c r="J84" s="5" t="s">
        <v>278</v>
      </c>
      <c r="K84" s="5" t="s">
        <v>1940</v>
      </c>
      <c r="L84" s="5" t="s">
        <v>32</v>
      </c>
      <c r="M84" s="5" t="s">
        <v>265</v>
      </c>
      <c r="N84" s="5" t="s">
        <v>28</v>
      </c>
      <c r="O84" s="5"/>
      <c r="P84" s="5"/>
    </row>
    <row r="85" customFormat="false" ht="27.75" hidden="false" customHeight="true" outlineLevel="0" collapsed="false">
      <c r="A85" s="5" t="s">
        <v>1941</v>
      </c>
      <c r="B85" s="5" t="s">
        <v>217</v>
      </c>
      <c r="C85" s="5" t="s">
        <v>168</v>
      </c>
      <c r="D85" s="5" t="s">
        <v>1942</v>
      </c>
      <c r="E85" s="5" t="s">
        <v>1943</v>
      </c>
      <c r="F85" s="5" t="s">
        <v>1944</v>
      </c>
      <c r="G85" s="5" t="s">
        <v>1945</v>
      </c>
      <c r="H85" s="5" t="s">
        <v>1946</v>
      </c>
      <c r="I85" s="5" t="s">
        <v>158</v>
      </c>
      <c r="J85" s="5" t="s">
        <v>263</v>
      </c>
      <c r="K85" s="5" t="s">
        <v>1947</v>
      </c>
      <c r="L85" s="5" t="s">
        <v>32</v>
      </c>
      <c r="M85" s="5" t="s">
        <v>265</v>
      </c>
      <c r="N85" s="5" t="s">
        <v>96</v>
      </c>
      <c r="O85" s="5"/>
      <c r="P85" s="5"/>
    </row>
    <row r="86" customFormat="false" ht="27.75" hidden="false" customHeight="true" outlineLevel="0" collapsed="false">
      <c r="A86" s="5" t="s">
        <v>1948</v>
      </c>
      <c r="B86" s="5" t="s">
        <v>217</v>
      </c>
      <c r="C86" s="5" t="s">
        <v>168</v>
      </c>
      <c r="D86" s="5" t="s">
        <v>1949</v>
      </c>
      <c r="E86" s="5" t="s">
        <v>1950</v>
      </c>
      <c r="F86" s="5" t="s">
        <v>368</v>
      </c>
      <c r="G86" s="5" t="s">
        <v>1951</v>
      </c>
      <c r="H86" s="5" t="s">
        <v>1952</v>
      </c>
      <c r="I86" s="5" t="s">
        <v>158</v>
      </c>
      <c r="J86" s="5" t="s">
        <v>278</v>
      </c>
      <c r="K86" s="5" t="s">
        <v>1953</v>
      </c>
      <c r="L86" s="5" t="s">
        <v>32</v>
      </c>
      <c r="M86" s="5" t="s">
        <v>265</v>
      </c>
      <c r="N86" s="5" t="s">
        <v>96</v>
      </c>
      <c r="O86" s="5"/>
      <c r="P86" s="5"/>
    </row>
    <row r="87" customFormat="false" ht="41.25" hidden="false" customHeight="true" outlineLevel="0" collapsed="false">
      <c r="A87" s="5" t="s">
        <v>1954</v>
      </c>
      <c r="B87" s="5" t="s">
        <v>218</v>
      </c>
      <c r="C87" s="5" t="s">
        <v>168</v>
      </c>
      <c r="D87" s="5" t="s">
        <v>1955</v>
      </c>
      <c r="E87" s="5" t="s">
        <v>855</v>
      </c>
      <c r="F87" s="5" t="s">
        <v>368</v>
      </c>
      <c r="G87" s="5" t="s">
        <v>1956</v>
      </c>
      <c r="H87" s="5" t="s">
        <v>1957</v>
      </c>
      <c r="I87" s="5" t="s">
        <v>158</v>
      </c>
      <c r="J87" s="5" t="s">
        <v>263</v>
      </c>
      <c r="K87" s="5" t="s">
        <v>1958</v>
      </c>
      <c r="L87" s="5" t="s">
        <v>32</v>
      </c>
      <c r="M87" s="5" t="s">
        <v>265</v>
      </c>
      <c r="N87" s="5" t="s">
        <v>96</v>
      </c>
      <c r="O87" s="5"/>
      <c r="P87" s="5"/>
    </row>
    <row r="88" customFormat="false" ht="41.25" hidden="false" customHeight="true" outlineLevel="0" collapsed="false">
      <c r="A88" s="5" t="s">
        <v>1959</v>
      </c>
      <c r="B88" s="5" t="s">
        <v>218</v>
      </c>
      <c r="C88" s="5" t="s">
        <v>168</v>
      </c>
      <c r="D88" s="5" t="s">
        <v>1960</v>
      </c>
      <c r="E88" s="5" t="s">
        <v>1961</v>
      </c>
      <c r="F88" s="5" t="s">
        <v>1962</v>
      </c>
      <c r="G88" s="5" t="s">
        <v>1963</v>
      </c>
      <c r="H88" s="5" t="s">
        <v>1964</v>
      </c>
      <c r="I88" s="5" t="s">
        <v>157</v>
      </c>
      <c r="J88" s="5" t="s">
        <v>263</v>
      </c>
      <c r="K88" s="5" t="s">
        <v>1965</v>
      </c>
      <c r="L88" s="5" t="s">
        <v>32</v>
      </c>
      <c r="M88" s="5" t="s">
        <v>265</v>
      </c>
      <c r="N88" s="5" t="s">
        <v>28</v>
      </c>
      <c r="O88" s="5"/>
      <c r="P88" s="5"/>
    </row>
    <row r="89" customFormat="false" ht="27.75" hidden="false" customHeight="true" outlineLevel="0" collapsed="false">
      <c r="A89" s="5" t="s">
        <v>1966</v>
      </c>
      <c r="B89" s="5" t="s">
        <v>218</v>
      </c>
      <c r="C89" s="5" t="s">
        <v>168</v>
      </c>
      <c r="D89" s="5" t="s">
        <v>1967</v>
      </c>
      <c r="E89" s="5" t="s">
        <v>1968</v>
      </c>
      <c r="F89" s="5" t="s">
        <v>368</v>
      </c>
      <c r="G89" s="5" t="s">
        <v>1969</v>
      </c>
      <c r="H89" s="5" t="s">
        <v>1970</v>
      </c>
      <c r="I89" s="5" t="s">
        <v>157</v>
      </c>
      <c r="J89" s="5" t="s">
        <v>311</v>
      </c>
      <c r="K89" s="5" t="s">
        <v>1971</v>
      </c>
      <c r="L89" s="5" t="s">
        <v>32</v>
      </c>
      <c r="M89" s="5" t="s">
        <v>265</v>
      </c>
      <c r="N89" s="5" t="s">
        <v>28</v>
      </c>
      <c r="O89" s="5"/>
      <c r="P89" s="5"/>
    </row>
    <row r="90" customFormat="false" ht="27.75" hidden="false" customHeight="true" outlineLevel="0" collapsed="false">
      <c r="A90" s="5" t="s">
        <v>1972</v>
      </c>
      <c r="B90" s="5" t="s">
        <v>218</v>
      </c>
      <c r="C90" s="5" t="s">
        <v>168</v>
      </c>
      <c r="D90" s="5" t="s">
        <v>1973</v>
      </c>
      <c r="E90" s="5" t="s">
        <v>1974</v>
      </c>
      <c r="F90" s="5" t="s">
        <v>368</v>
      </c>
      <c r="G90" s="5" t="s">
        <v>1975</v>
      </c>
      <c r="H90" s="5" t="s">
        <v>1976</v>
      </c>
      <c r="I90" s="5" t="s">
        <v>158</v>
      </c>
      <c r="J90" s="5" t="s">
        <v>253</v>
      </c>
      <c r="K90" s="5" t="s">
        <v>1977</v>
      </c>
      <c r="L90" s="5" t="s">
        <v>32</v>
      </c>
      <c r="M90" s="5" t="s">
        <v>265</v>
      </c>
      <c r="N90" s="5" t="s">
        <v>96</v>
      </c>
      <c r="O90" s="5"/>
      <c r="P90" s="5"/>
    </row>
    <row r="91" customFormat="false" ht="27.75" hidden="false" customHeight="true" outlineLevel="0" collapsed="false">
      <c r="A91" s="5" t="s">
        <v>1978</v>
      </c>
      <c r="B91" s="5" t="s">
        <v>218</v>
      </c>
      <c r="C91" s="5" t="s">
        <v>168</v>
      </c>
      <c r="D91" s="5" t="s">
        <v>1979</v>
      </c>
      <c r="E91" s="5" t="s">
        <v>1937</v>
      </c>
      <c r="F91" s="5" t="s">
        <v>368</v>
      </c>
      <c r="G91" s="5" t="s">
        <v>1980</v>
      </c>
      <c r="H91" s="5" t="s">
        <v>1981</v>
      </c>
      <c r="I91" s="5" t="s">
        <v>157</v>
      </c>
      <c r="J91" s="5" t="s">
        <v>278</v>
      </c>
      <c r="K91" s="5" t="s">
        <v>1982</v>
      </c>
      <c r="L91" s="5" t="s">
        <v>32</v>
      </c>
      <c r="M91" s="5" t="s">
        <v>265</v>
      </c>
      <c r="N91" s="5" t="s">
        <v>28</v>
      </c>
      <c r="O91" s="5"/>
      <c r="P91" s="5"/>
    </row>
    <row r="92" customFormat="false" ht="41.25" hidden="false" customHeight="true" outlineLevel="0" collapsed="false">
      <c r="A92" s="5" t="s">
        <v>1983</v>
      </c>
      <c r="B92" s="5" t="s">
        <v>218</v>
      </c>
      <c r="C92" s="5" t="s">
        <v>168</v>
      </c>
      <c r="D92" s="5" t="s">
        <v>1984</v>
      </c>
      <c r="E92" s="5" t="s">
        <v>1985</v>
      </c>
      <c r="F92" s="5" t="s">
        <v>368</v>
      </c>
      <c r="G92" s="5" t="s">
        <v>1986</v>
      </c>
      <c r="H92" s="5" t="s">
        <v>1987</v>
      </c>
      <c r="I92" s="5" t="s">
        <v>157</v>
      </c>
      <c r="J92" s="5" t="s">
        <v>263</v>
      </c>
      <c r="K92" s="5" t="s">
        <v>1988</v>
      </c>
      <c r="L92" s="5" t="s">
        <v>32</v>
      </c>
      <c r="M92" s="5" t="s">
        <v>265</v>
      </c>
      <c r="N92" s="5" t="s">
        <v>28</v>
      </c>
      <c r="O92" s="5"/>
      <c r="P92" s="5"/>
    </row>
    <row r="93" customFormat="false" ht="27.75" hidden="false" customHeight="true" outlineLevel="0" collapsed="false">
      <c r="A93" s="5" t="s">
        <v>1989</v>
      </c>
      <c r="B93" s="5" t="s">
        <v>218</v>
      </c>
      <c r="C93" s="5" t="s">
        <v>168</v>
      </c>
      <c r="D93" s="5" t="s">
        <v>1990</v>
      </c>
      <c r="E93" s="5" t="s">
        <v>1991</v>
      </c>
      <c r="F93" s="5" t="s">
        <v>368</v>
      </c>
      <c r="G93" s="5" t="s">
        <v>1992</v>
      </c>
      <c r="H93" s="5" t="s">
        <v>1993</v>
      </c>
      <c r="I93" s="5" t="s">
        <v>158</v>
      </c>
      <c r="J93" s="5" t="s">
        <v>263</v>
      </c>
      <c r="K93" s="5" t="s">
        <v>1994</v>
      </c>
      <c r="L93" s="5" t="s">
        <v>32</v>
      </c>
      <c r="M93" s="5" t="s">
        <v>265</v>
      </c>
      <c r="N93" s="5" t="s">
        <v>96</v>
      </c>
      <c r="O93" s="5"/>
      <c r="P93" s="5"/>
    </row>
    <row r="94" customFormat="false" ht="27.75" hidden="false" customHeight="true" outlineLevel="0" collapsed="false">
      <c r="A94" s="5" t="s">
        <v>1995</v>
      </c>
      <c r="B94" s="5" t="s">
        <v>218</v>
      </c>
      <c r="C94" s="5" t="s">
        <v>168</v>
      </c>
      <c r="D94" s="5" t="s">
        <v>1996</v>
      </c>
      <c r="E94" s="5" t="s">
        <v>1997</v>
      </c>
      <c r="F94" s="5" t="s">
        <v>368</v>
      </c>
      <c r="G94" s="5" t="s">
        <v>1998</v>
      </c>
      <c r="H94" s="5" t="s">
        <v>1999</v>
      </c>
      <c r="I94" s="5" t="s">
        <v>158</v>
      </c>
      <c r="J94" s="5" t="s">
        <v>253</v>
      </c>
      <c r="K94" s="5" t="s">
        <v>2000</v>
      </c>
      <c r="L94" s="5" t="s">
        <v>32</v>
      </c>
      <c r="M94" s="5" t="s">
        <v>265</v>
      </c>
      <c r="N94" s="5" t="s">
        <v>96</v>
      </c>
      <c r="O94" s="5"/>
      <c r="P94" s="5"/>
    </row>
    <row r="95" customFormat="false" ht="27.75" hidden="false" customHeight="true" outlineLevel="0" collapsed="false">
      <c r="A95" s="5" t="s">
        <v>2001</v>
      </c>
      <c r="B95" s="5" t="s">
        <v>218</v>
      </c>
      <c r="C95" s="5" t="s">
        <v>168</v>
      </c>
      <c r="D95" s="5" t="s">
        <v>2002</v>
      </c>
      <c r="E95" s="5" t="s">
        <v>2003</v>
      </c>
      <c r="F95" s="5" t="s">
        <v>368</v>
      </c>
      <c r="G95" s="5" t="s">
        <v>2004</v>
      </c>
      <c r="H95" s="5" t="s">
        <v>2005</v>
      </c>
      <c r="I95" s="5" t="s">
        <v>157</v>
      </c>
      <c r="J95" s="5" t="s">
        <v>311</v>
      </c>
      <c r="K95" s="5" t="s">
        <v>2006</v>
      </c>
      <c r="L95" s="5" t="s">
        <v>32</v>
      </c>
      <c r="M95" s="5" t="s">
        <v>265</v>
      </c>
      <c r="N95" s="5" t="s">
        <v>28</v>
      </c>
      <c r="O95" s="5"/>
      <c r="P95" s="5"/>
    </row>
    <row r="96" customFormat="false" ht="41.25" hidden="false" customHeight="true" outlineLevel="0" collapsed="false">
      <c r="A96" s="5" t="s">
        <v>2007</v>
      </c>
      <c r="B96" s="5" t="s">
        <v>218</v>
      </c>
      <c r="C96" s="5" t="s">
        <v>168</v>
      </c>
      <c r="D96" s="5" t="s">
        <v>2008</v>
      </c>
      <c r="E96" s="5" t="s">
        <v>2009</v>
      </c>
      <c r="F96" s="5" t="s">
        <v>368</v>
      </c>
      <c r="G96" s="5" t="s">
        <v>2010</v>
      </c>
      <c r="H96" s="5" t="s">
        <v>2011</v>
      </c>
      <c r="I96" s="5" t="s">
        <v>157</v>
      </c>
      <c r="J96" s="5" t="s">
        <v>263</v>
      </c>
      <c r="K96" s="5" t="s">
        <v>2012</v>
      </c>
      <c r="L96" s="5" t="s">
        <v>32</v>
      </c>
      <c r="M96" s="5" t="s">
        <v>265</v>
      </c>
      <c r="N96" s="5" t="s">
        <v>28</v>
      </c>
      <c r="O96" s="5"/>
      <c r="P96" s="5"/>
    </row>
    <row r="97" customFormat="false" ht="27.75" hidden="false" customHeight="true" outlineLevel="0" collapsed="false">
      <c r="A97" s="5" t="s">
        <v>2013</v>
      </c>
      <c r="B97" s="5" t="s">
        <v>218</v>
      </c>
      <c r="C97" s="5" t="s">
        <v>168</v>
      </c>
      <c r="D97" s="5" t="s">
        <v>2014</v>
      </c>
      <c r="E97" s="5" t="s">
        <v>2015</v>
      </c>
      <c r="F97" s="5" t="s">
        <v>368</v>
      </c>
      <c r="G97" s="5" t="s">
        <v>2016</v>
      </c>
      <c r="H97" s="5" t="s">
        <v>2017</v>
      </c>
      <c r="I97" s="5" t="s">
        <v>157</v>
      </c>
      <c r="J97" s="5" t="s">
        <v>263</v>
      </c>
      <c r="K97" s="5" t="s">
        <v>2018</v>
      </c>
      <c r="L97" s="5" t="s">
        <v>32</v>
      </c>
      <c r="M97" s="5" t="s">
        <v>265</v>
      </c>
      <c r="N97" s="5" t="s">
        <v>28</v>
      </c>
      <c r="O97" s="5"/>
      <c r="P97" s="5"/>
    </row>
    <row r="98" customFormat="false" ht="27.75" hidden="false" customHeight="true" outlineLevel="0" collapsed="false">
      <c r="A98" s="5" t="s">
        <v>2019</v>
      </c>
      <c r="B98" s="5" t="s">
        <v>218</v>
      </c>
      <c r="C98" s="5" t="s">
        <v>168</v>
      </c>
      <c r="D98" s="5" t="s">
        <v>2020</v>
      </c>
      <c r="E98" s="5" t="s">
        <v>2021</v>
      </c>
      <c r="F98" s="5" t="s">
        <v>368</v>
      </c>
      <c r="G98" s="5" t="s">
        <v>2022</v>
      </c>
      <c r="H98" s="5" t="s">
        <v>2023</v>
      </c>
      <c r="I98" s="5" t="s">
        <v>158</v>
      </c>
      <c r="J98" s="5" t="s">
        <v>311</v>
      </c>
      <c r="K98" s="5" t="s">
        <v>2024</v>
      </c>
      <c r="L98" s="5" t="s">
        <v>32</v>
      </c>
      <c r="M98" s="5" t="s">
        <v>265</v>
      </c>
      <c r="N98" s="5" t="s">
        <v>96</v>
      </c>
      <c r="O98" s="5"/>
      <c r="P98" s="5"/>
    </row>
    <row r="99" customFormat="false" ht="27.75" hidden="false" customHeight="true" outlineLevel="0" collapsed="false">
      <c r="A99" s="5" t="s">
        <v>2025</v>
      </c>
      <c r="B99" s="5" t="s">
        <v>219</v>
      </c>
      <c r="C99" s="5" t="s">
        <v>168</v>
      </c>
      <c r="D99" s="5" t="s">
        <v>2026</v>
      </c>
      <c r="E99" s="5" t="s">
        <v>855</v>
      </c>
      <c r="F99" s="5" t="s">
        <v>368</v>
      </c>
      <c r="G99" s="5" t="s">
        <v>1772</v>
      </c>
      <c r="H99" s="5" t="s">
        <v>2027</v>
      </c>
      <c r="I99" s="5" t="s">
        <v>157</v>
      </c>
      <c r="J99" s="5" t="s">
        <v>263</v>
      </c>
      <c r="K99" s="5" t="s">
        <v>2028</v>
      </c>
      <c r="L99" s="5" t="s">
        <v>32</v>
      </c>
      <c r="M99" s="5" t="s">
        <v>265</v>
      </c>
      <c r="N99" s="5" t="s">
        <v>28</v>
      </c>
      <c r="O99" s="5"/>
      <c r="P99" s="5"/>
    </row>
    <row r="100" customFormat="false" ht="68.25" hidden="false" customHeight="true" outlineLevel="0" collapsed="false">
      <c r="A100" s="5" t="s">
        <v>47</v>
      </c>
      <c r="B100" s="5" t="s">
        <v>219</v>
      </c>
      <c r="C100" s="5" t="s">
        <v>168</v>
      </c>
      <c r="D100" s="5" t="s">
        <v>2029</v>
      </c>
      <c r="E100" s="5" t="s">
        <v>2030</v>
      </c>
      <c r="F100" s="5" t="s">
        <v>368</v>
      </c>
      <c r="G100" s="5" t="s">
        <v>2031</v>
      </c>
      <c r="H100" s="5" t="s">
        <v>2032</v>
      </c>
      <c r="I100" s="5" t="s">
        <v>157</v>
      </c>
      <c r="J100" s="5" t="s">
        <v>263</v>
      </c>
      <c r="K100" s="5" t="s">
        <v>2033</v>
      </c>
      <c r="L100" s="5" t="s">
        <v>32</v>
      </c>
      <c r="M100" s="5" t="s">
        <v>265</v>
      </c>
      <c r="N100" s="5" t="s">
        <v>96</v>
      </c>
      <c r="O100" s="5"/>
      <c r="P100" s="5"/>
    </row>
    <row r="101" customFormat="false" ht="27.75" hidden="false" customHeight="true" outlineLevel="0" collapsed="false">
      <c r="A101" s="5" t="s">
        <v>2034</v>
      </c>
      <c r="B101" s="5" t="s">
        <v>219</v>
      </c>
      <c r="C101" s="5" t="s">
        <v>168</v>
      </c>
      <c r="D101" s="5" t="s">
        <v>2035</v>
      </c>
      <c r="E101" s="5" t="s">
        <v>2036</v>
      </c>
      <c r="F101" s="5" t="s">
        <v>368</v>
      </c>
      <c r="G101" s="5" t="s">
        <v>2037</v>
      </c>
      <c r="H101" s="5" t="s">
        <v>2038</v>
      </c>
      <c r="I101" s="5" t="s">
        <v>158</v>
      </c>
      <c r="J101" s="5" t="s">
        <v>263</v>
      </c>
      <c r="K101" s="5" t="s">
        <v>2039</v>
      </c>
      <c r="L101" s="5" t="s">
        <v>32</v>
      </c>
      <c r="M101" s="5" t="s">
        <v>265</v>
      </c>
      <c r="N101" s="5" t="s">
        <v>96</v>
      </c>
      <c r="O101" s="5"/>
      <c r="P101" s="5"/>
    </row>
    <row r="102" customFormat="false" ht="27.75" hidden="false" customHeight="true" outlineLevel="0" collapsed="false">
      <c r="A102" s="5" t="s">
        <v>2040</v>
      </c>
      <c r="B102" s="5" t="s">
        <v>219</v>
      </c>
      <c r="C102" s="5" t="s">
        <v>168</v>
      </c>
      <c r="D102" s="5" t="s">
        <v>2041</v>
      </c>
      <c r="E102" s="5" t="s">
        <v>2042</v>
      </c>
      <c r="F102" s="5" t="s">
        <v>368</v>
      </c>
      <c r="G102" s="5" t="s">
        <v>2043</v>
      </c>
      <c r="H102" s="5" t="s">
        <v>2044</v>
      </c>
      <c r="I102" s="5" t="s">
        <v>158</v>
      </c>
      <c r="J102" s="5" t="s">
        <v>263</v>
      </c>
      <c r="K102" s="5" t="s">
        <v>2045</v>
      </c>
      <c r="L102" s="5" t="s">
        <v>32</v>
      </c>
      <c r="M102" s="5" t="s">
        <v>265</v>
      </c>
      <c r="N102" s="5" t="s">
        <v>96</v>
      </c>
      <c r="O102" s="5"/>
      <c r="P102" s="5"/>
    </row>
    <row r="103" customFormat="false" ht="27.75" hidden="false" customHeight="true" outlineLevel="0" collapsed="false">
      <c r="A103" s="5" t="s">
        <v>2046</v>
      </c>
      <c r="B103" s="5" t="s">
        <v>219</v>
      </c>
      <c r="C103" s="5" t="s">
        <v>168</v>
      </c>
      <c r="D103" s="5" t="s">
        <v>2047</v>
      </c>
      <c r="E103" s="5" t="s">
        <v>2048</v>
      </c>
      <c r="F103" s="5" t="s">
        <v>368</v>
      </c>
      <c r="G103" s="5" t="s">
        <v>2049</v>
      </c>
      <c r="H103" s="5" t="s">
        <v>2050</v>
      </c>
      <c r="I103" s="5" t="s">
        <v>158</v>
      </c>
      <c r="J103" s="5" t="s">
        <v>263</v>
      </c>
      <c r="K103" s="5" t="s">
        <v>2051</v>
      </c>
      <c r="L103" s="5" t="s">
        <v>32</v>
      </c>
      <c r="M103" s="5" t="s">
        <v>265</v>
      </c>
      <c r="N103" s="5" t="s">
        <v>96</v>
      </c>
      <c r="O103" s="5"/>
      <c r="P103" s="5"/>
    </row>
    <row r="104" customFormat="false" ht="54.75" hidden="false" customHeight="true" outlineLevel="0" collapsed="false">
      <c r="A104" s="5" t="s">
        <v>2052</v>
      </c>
      <c r="B104" s="5" t="s">
        <v>220</v>
      </c>
      <c r="C104" s="5" t="s">
        <v>168</v>
      </c>
      <c r="D104" s="5" t="s">
        <v>2053</v>
      </c>
      <c r="E104" s="5" t="s">
        <v>2054</v>
      </c>
      <c r="F104" s="5" t="s">
        <v>368</v>
      </c>
      <c r="G104" s="5" t="s">
        <v>2055</v>
      </c>
      <c r="H104" s="5" t="s">
        <v>2056</v>
      </c>
      <c r="I104" s="5" t="s">
        <v>157</v>
      </c>
      <c r="J104" s="5" t="s">
        <v>263</v>
      </c>
      <c r="K104" s="5" t="s">
        <v>2057</v>
      </c>
      <c r="L104" s="5" t="s">
        <v>32</v>
      </c>
      <c r="M104" s="5" t="s">
        <v>265</v>
      </c>
      <c r="N104" s="5" t="s">
        <v>28</v>
      </c>
      <c r="O104" s="5"/>
      <c r="P104" s="5"/>
    </row>
    <row r="105" customFormat="false" ht="27.75" hidden="false" customHeight="true" outlineLevel="0" collapsed="false">
      <c r="A105" s="5" t="s">
        <v>2058</v>
      </c>
      <c r="B105" s="5" t="s">
        <v>220</v>
      </c>
      <c r="C105" s="5" t="s">
        <v>168</v>
      </c>
      <c r="D105" s="5" t="s">
        <v>2059</v>
      </c>
      <c r="E105" s="5" t="s">
        <v>2060</v>
      </c>
      <c r="F105" s="5" t="s">
        <v>368</v>
      </c>
      <c r="G105" s="5" t="s">
        <v>2061</v>
      </c>
      <c r="H105" s="5" t="s">
        <v>2062</v>
      </c>
      <c r="I105" s="5" t="s">
        <v>157</v>
      </c>
      <c r="J105" s="5" t="s">
        <v>263</v>
      </c>
      <c r="K105" s="5" t="s">
        <v>2063</v>
      </c>
      <c r="L105" s="5" t="s">
        <v>32</v>
      </c>
      <c r="M105" s="5" t="s">
        <v>265</v>
      </c>
      <c r="N105" s="5" t="s">
        <v>28</v>
      </c>
      <c r="O105" s="5"/>
      <c r="P105" s="5"/>
    </row>
    <row r="106" customFormat="false" ht="27.75" hidden="false" customHeight="true" outlineLevel="0" collapsed="false">
      <c r="A106" s="5" t="s">
        <v>2064</v>
      </c>
      <c r="B106" s="5" t="s">
        <v>220</v>
      </c>
      <c r="C106" s="5" t="s">
        <v>168</v>
      </c>
      <c r="D106" s="5" t="s">
        <v>2065</v>
      </c>
      <c r="E106" s="5" t="s">
        <v>2066</v>
      </c>
      <c r="F106" s="5" t="s">
        <v>368</v>
      </c>
      <c r="G106" s="5" t="s">
        <v>2067</v>
      </c>
      <c r="H106" s="5" t="s">
        <v>2068</v>
      </c>
      <c r="I106" s="5" t="s">
        <v>158</v>
      </c>
      <c r="J106" s="5" t="s">
        <v>263</v>
      </c>
      <c r="K106" s="5" t="s">
        <v>2069</v>
      </c>
      <c r="L106" s="5" t="s">
        <v>32</v>
      </c>
      <c r="M106" s="5" t="s">
        <v>265</v>
      </c>
      <c r="N106" s="5" t="s">
        <v>96</v>
      </c>
      <c r="O106" s="5"/>
      <c r="P106" s="5"/>
    </row>
    <row r="107" customFormat="false" ht="27.75" hidden="false" customHeight="true" outlineLevel="0" collapsed="false">
      <c r="A107" s="5" t="s">
        <v>2070</v>
      </c>
      <c r="B107" s="5" t="s">
        <v>220</v>
      </c>
      <c r="C107" s="5" t="s">
        <v>168</v>
      </c>
      <c r="D107" s="5" t="s">
        <v>2071</v>
      </c>
      <c r="E107" s="5" t="s">
        <v>2072</v>
      </c>
      <c r="F107" s="5" t="s">
        <v>368</v>
      </c>
      <c r="G107" s="5" t="s">
        <v>2073</v>
      </c>
      <c r="H107" s="5" t="s">
        <v>2074</v>
      </c>
      <c r="I107" s="5" t="s">
        <v>157</v>
      </c>
      <c r="J107" s="5" t="s">
        <v>311</v>
      </c>
      <c r="K107" s="5" t="s">
        <v>2075</v>
      </c>
      <c r="L107" s="5" t="s">
        <v>32</v>
      </c>
      <c r="M107" s="5" t="s">
        <v>265</v>
      </c>
      <c r="N107" s="5" t="s">
        <v>28</v>
      </c>
      <c r="O107" s="5"/>
      <c r="P107" s="5"/>
    </row>
    <row r="108" customFormat="false" ht="27.75" hidden="false" customHeight="true" outlineLevel="0" collapsed="false">
      <c r="A108" s="5" t="s">
        <v>2076</v>
      </c>
      <c r="B108" s="5" t="s">
        <v>220</v>
      </c>
      <c r="C108" s="5" t="s">
        <v>168</v>
      </c>
      <c r="D108" s="5" t="s">
        <v>2077</v>
      </c>
      <c r="E108" s="5" t="s">
        <v>2078</v>
      </c>
      <c r="F108" s="5" t="s">
        <v>368</v>
      </c>
      <c r="G108" s="5" t="s">
        <v>2079</v>
      </c>
      <c r="H108" s="5" t="s">
        <v>2080</v>
      </c>
      <c r="I108" s="5" t="s">
        <v>158</v>
      </c>
      <c r="J108" s="5" t="s">
        <v>263</v>
      </c>
      <c r="K108" s="5" t="s">
        <v>2081</v>
      </c>
      <c r="L108" s="5" t="s">
        <v>32</v>
      </c>
      <c r="M108" s="5" t="s">
        <v>265</v>
      </c>
      <c r="N108" s="5" t="s">
        <v>96</v>
      </c>
      <c r="O108" s="5"/>
      <c r="P108" s="5"/>
    </row>
    <row r="109" customFormat="false" ht="41.25" hidden="false" customHeight="true" outlineLevel="0" collapsed="false">
      <c r="A109" s="5" t="s">
        <v>2082</v>
      </c>
      <c r="B109" s="5" t="s">
        <v>220</v>
      </c>
      <c r="C109" s="5" t="s">
        <v>168</v>
      </c>
      <c r="D109" s="5" t="s">
        <v>2083</v>
      </c>
      <c r="E109" s="5" t="s">
        <v>2084</v>
      </c>
      <c r="F109" s="5" t="s">
        <v>368</v>
      </c>
      <c r="G109" s="5" t="s">
        <v>2085</v>
      </c>
      <c r="H109" s="5" t="s">
        <v>2086</v>
      </c>
      <c r="I109" s="5" t="s">
        <v>158</v>
      </c>
      <c r="J109" s="5" t="s">
        <v>263</v>
      </c>
      <c r="K109" s="5" t="s">
        <v>2087</v>
      </c>
      <c r="L109" s="5" t="s">
        <v>32</v>
      </c>
      <c r="M109" s="5" t="s">
        <v>265</v>
      </c>
      <c r="N109" s="5" t="s">
        <v>96</v>
      </c>
      <c r="O109" s="5"/>
      <c r="P109" s="5"/>
    </row>
    <row r="110" customFormat="false" ht="27.75" hidden="false" customHeight="true" outlineLevel="0" collapsed="false">
      <c r="A110" s="5" t="s">
        <v>2088</v>
      </c>
      <c r="B110" s="5" t="s">
        <v>220</v>
      </c>
      <c r="C110" s="5" t="s">
        <v>168</v>
      </c>
      <c r="D110" s="5" t="s">
        <v>2089</v>
      </c>
      <c r="E110" s="5" t="s">
        <v>1907</v>
      </c>
      <c r="F110" s="5" t="s">
        <v>368</v>
      </c>
      <c r="G110" s="5" t="s">
        <v>2090</v>
      </c>
      <c r="H110" s="5" t="s">
        <v>2091</v>
      </c>
      <c r="I110" s="5" t="s">
        <v>158</v>
      </c>
      <c r="J110" s="5" t="s">
        <v>253</v>
      </c>
      <c r="K110" s="5" t="s">
        <v>2092</v>
      </c>
      <c r="L110" s="5" t="s">
        <v>32</v>
      </c>
      <c r="M110" s="5" t="s">
        <v>265</v>
      </c>
      <c r="N110" s="5" t="s">
        <v>96</v>
      </c>
      <c r="O110" s="5"/>
      <c r="P110" s="5"/>
    </row>
    <row r="111" customFormat="false" ht="54.75" hidden="false" customHeight="true" outlineLevel="0" collapsed="false">
      <c r="A111" s="5" t="s">
        <v>2093</v>
      </c>
      <c r="B111" s="5" t="s">
        <v>220</v>
      </c>
      <c r="C111" s="5" t="s">
        <v>168</v>
      </c>
      <c r="D111" s="5" t="s">
        <v>2094</v>
      </c>
      <c r="E111" s="5" t="s">
        <v>2095</v>
      </c>
      <c r="F111" s="5" t="s">
        <v>368</v>
      </c>
      <c r="G111" s="5" t="s">
        <v>2096</v>
      </c>
      <c r="H111" s="5" t="s">
        <v>1903</v>
      </c>
      <c r="I111" s="5" t="s">
        <v>156</v>
      </c>
      <c r="J111" s="5" t="s">
        <v>278</v>
      </c>
      <c r="K111" s="5" t="s">
        <v>2097</v>
      </c>
      <c r="L111" s="5" t="s">
        <v>32</v>
      </c>
      <c r="M111" s="5" t="s">
        <v>265</v>
      </c>
      <c r="N111" s="5" t="s">
        <v>28</v>
      </c>
      <c r="O111" s="5"/>
      <c r="P111" s="5"/>
    </row>
    <row r="112" customFormat="false" ht="68.25" hidden="false" customHeight="true" outlineLevel="0" collapsed="false">
      <c r="A112" s="5" t="s">
        <v>2098</v>
      </c>
      <c r="B112" s="5" t="s">
        <v>220</v>
      </c>
      <c r="C112" s="5" t="s">
        <v>168</v>
      </c>
      <c r="D112" s="5" t="s">
        <v>2099</v>
      </c>
      <c r="E112" s="5" t="s">
        <v>2100</v>
      </c>
      <c r="F112" s="5" t="s">
        <v>368</v>
      </c>
      <c r="G112" s="5" t="s">
        <v>2101</v>
      </c>
      <c r="H112" s="5" t="s">
        <v>2102</v>
      </c>
      <c r="I112" s="5" t="s">
        <v>156</v>
      </c>
      <c r="J112" s="5" t="s">
        <v>278</v>
      </c>
      <c r="K112" s="5" t="s">
        <v>2103</v>
      </c>
      <c r="L112" s="5" t="s">
        <v>32</v>
      </c>
      <c r="M112" s="5" t="s">
        <v>265</v>
      </c>
      <c r="N112" s="5" t="s">
        <v>28</v>
      </c>
      <c r="O112" s="5"/>
      <c r="P112" s="5"/>
    </row>
    <row r="113" customFormat="false" ht="27.75" hidden="false" customHeight="true" outlineLevel="0" collapsed="false">
      <c r="A113" s="5" t="s">
        <v>2104</v>
      </c>
      <c r="B113" s="5" t="s">
        <v>220</v>
      </c>
      <c r="C113" s="5" t="s">
        <v>168</v>
      </c>
      <c r="D113" s="5" t="s">
        <v>2105</v>
      </c>
      <c r="E113" s="5" t="s">
        <v>2106</v>
      </c>
      <c r="F113" s="5" t="s">
        <v>368</v>
      </c>
      <c r="G113" s="5" t="s">
        <v>2107</v>
      </c>
      <c r="H113" s="5" t="s">
        <v>2108</v>
      </c>
      <c r="I113" s="5" t="s">
        <v>157</v>
      </c>
      <c r="J113" s="5" t="s">
        <v>342</v>
      </c>
      <c r="K113" s="5" t="s">
        <v>2109</v>
      </c>
      <c r="L113" s="5" t="s">
        <v>32</v>
      </c>
      <c r="M113" s="5" t="s">
        <v>265</v>
      </c>
      <c r="N113" s="5" t="s">
        <v>28</v>
      </c>
      <c r="O113" s="5"/>
      <c r="P113" s="5"/>
    </row>
    <row r="114" customFormat="false" ht="27.75" hidden="false" customHeight="true" outlineLevel="0" collapsed="false">
      <c r="A114" s="5" t="s">
        <v>2110</v>
      </c>
      <c r="B114" s="5" t="s">
        <v>220</v>
      </c>
      <c r="C114" s="5" t="s">
        <v>168</v>
      </c>
      <c r="D114" s="5" t="s">
        <v>2111</v>
      </c>
      <c r="E114" s="5" t="s">
        <v>2112</v>
      </c>
      <c r="F114" s="5" t="s">
        <v>368</v>
      </c>
      <c r="G114" s="5" t="s">
        <v>2113</v>
      </c>
      <c r="H114" s="5" t="s">
        <v>2114</v>
      </c>
      <c r="I114" s="5" t="s">
        <v>157</v>
      </c>
      <c r="J114" s="5" t="s">
        <v>263</v>
      </c>
      <c r="K114" s="5" t="s">
        <v>2115</v>
      </c>
      <c r="L114" s="5" t="s">
        <v>32</v>
      </c>
      <c r="M114" s="5" t="s">
        <v>265</v>
      </c>
      <c r="N114" s="5" t="s">
        <v>28</v>
      </c>
      <c r="O114" s="5"/>
      <c r="P114" s="5"/>
    </row>
    <row r="115" customFormat="false" ht="27.75" hidden="false" customHeight="true" outlineLevel="0" collapsed="false">
      <c r="A115" s="5" t="s">
        <v>2116</v>
      </c>
      <c r="B115" s="5" t="s">
        <v>220</v>
      </c>
      <c r="C115" s="5" t="s">
        <v>168</v>
      </c>
      <c r="D115" s="5" t="s">
        <v>2117</v>
      </c>
      <c r="E115" s="5" t="s">
        <v>479</v>
      </c>
      <c r="F115" s="5" t="s">
        <v>368</v>
      </c>
      <c r="G115" s="5" t="s">
        <v>2118</v>
      </c>
      <c r="H115" s="5" t="s">
        <v>2119</v>
      </c>
      <c r="I115" s="5" t="s">
        <v>158</v>
      </c>
      <c r="J115" s="5" t="s">
        <v>263</v>
      </c>
      <c r="K115" s="5" t="s">
        <v>2120</v>
      </c>
      <c r="L115" s="5" t="s">
        <v>32</v>
      </c>
      <c r="M115" s="5" t="s">
        <v>265</v>
      </c>
      <c r="N115" s="5" t="s">
        <v>96</v>
      </c>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245</v>
      </c>
      <c r="B1" s="13" t="s">
        <v>175</v>
      </c>
      <c r="C1" s="13" t="s">
        <v>154</v>
      </c>
      <c r="D1" s="13" t="s">
        <v>246</v>
      </c>
      <c r="E1" s="13" t="s">
        <v>247</v>
      </c>
      <c r="F1" s="13" t="s">
        <v>248</v>
      </c>
      <c r="G1" s="13" t="s">
        <v>249</v>
      </c>
      <c r="H1" s="13" t="s">
        <v>250</v>
      </c>
      <c r="I1" s="13" t="s">
        <v>177</v>
      </c>
      <c r="J1" s="13" t="s">
        <v>251</v>
      </c>
      <c r="K1" s="13" t="s">
        <v>252</v>
      </c>
      <c r="L1" s="13" t="s">
        <v>253</v>
      </c>
      <c r="M1" s="13" t="s">
        <v>254</v>
      </c>
      <c r="N1" s="13" t="s">
        <v>255</v>
      </c>
      <c r="O1" s="13" t="s">
        <v>256</v>
      </c>
      <c r="P1" s="13" t="s">
        <v>27</v>
      </c>
    </row>
    <row r="2" customFormat="false" ht="41.25" hidden="false" customHeight="true" outlineLevel="0" collapsed="false">
      <c r="A2" s="5" t="s">
        <v>2121</v>
      </c>
      <c r="B2" s="5" t="s">
        <v>221</v>
      </c>
      <c r="C2" s="5" t="s">
        <v>169</v>
      </c>
      <c r="D2" s="5" t="s">
        <v>2122</v>
      </c>
      <c r="E2" s="5" t="s">
        <v>2123</v>
      </c>
      <c r="F2" s="5" t="s">
        <v>368</v>
      </c>
      <c r="G2" s="5" t="s">
        <v>2124</v>
      </c>
      <c r="H2" s="5" t="s">
        <v>2125</v>
      </c>
      <c r="I2" s="5" t="s">
        <v>156</v>
      </c>
      <c r="J2" s="5" t="s">
        <v>263</v>
      </c>
      <c r="K2" s="5" t="s">
        <v>2126</v>
      </c>
      <c r="L2" s="5" t="s">
        <v>32</v>
      </c>
      <c r="M2" s="5" t="s">
        <v>265</v>
      </c>
      <c r="N2" s="5" t="s">
        <v>28</v>
      </c>
      <c r="O2" s="5"/>
      <c r="P2" s="5"/>
    </row>
    <row r="3" customFormat="false" ht="27.75" hidden="false" customHeight="true" outlineLevel="0" collapsed="false">
      <c r="A3" s="5" t="s">
        <v>2127</v>
      </c>
      <c r="B3" s="5" t="s">
        <v>221</v>
      </c>
      <c r="C3" s="5" t="s">
        <v>169</v>
      </c>
      <c r="D3" s="5" t="s">
        <v>2128</v>
      </c>
      <c r="E3" s="5" t="s">
        <v>2129</v>
      </c>
      <c r="F3" s="5" t="s">
        <v>368</v>
      </c>
      <c r="G3" s="5" t="s">
        <v>2130</v>
      </c>
      <c r="H3" s="5" t="s">
        <v>2131</v>
      </c>
      <c r="I3" s="5" t="s">
        <v>157</v>
      </c>
      <c r="J3" s="5" t="s">
        <v>263</v>
      </c>
      <c r="K3" s="5" t="s">
        <v>2132</v>
      </c>
      <c r="L3" s="5" t="s">
        <v>32</v>
      </c>
      <c r="M3" s="5" t="s">
        <v>265</v>
      </c>
      <c r="N3" s="5" t="s">
        <v>96</v>
      </c>
      <c r="O3" s="5"/>
      <c r="P3" s="5"/>
    </row>
    <row r="4" customFormat="false" ht="27.75" hidden="false" customHeight="true" outlineLevel="0" collapsed="false">
      <c r="A4" s="5" t="s">
        <v>2133</v>
      </c>
      <c r="B4" s="5" t="s">
        <v>221</v>
      </c>
      <c r="C4" s="5" t="s">
        <v>169</v>
      </c>
      <c r="D4" s="5" t="s">
        <v>2134</v>
      </c>
      <c r="E4" s="5" t="s">
        <v>2135</v>
      </c>
      <c r="F4" s="5" t="s">
        <v>368</v>
      </c>
      <c r="G4" s="5" t="s">
        <v>2136</v>
      </c>
      <c r="H4" s="5" t="s">
        <v>2137</v>
      </c>
      <c r="I4" s="5" t="s">
        <v>156</v>
      </c>
      <c r="J4" s="5" t="s">
        <v>278</v>
      </c>
      <c r="K4" s="5" t="s">
        <v>2138</v>
      </c>
      <c r="L4" s="5" t="s">
        <v>32</v>
      </c>
      <c r="M4" s="5" t="s">
        <v>265</v>
      </c>
      <c r="N4" s="5" t="s">
        <v>28</v>
      </c>
      <c r="O4" s="5"/>
      <c r="P4" s="5"/>
    </row>
    <row r="5" customFormat="false" ht="27.75" hidden="false" customHeight="true" outlineLevel="0" collapsed="false">
      <c r="A5" s="5" t="s">
        <v>2139</v>
      </c>
      <c r="B5" s="5" t="s">
        <v>222</v>
      </c>
      <c r="C5" s="5" t="s">
        <v>169</v>
      </c>
      <c r="D5" s="5" t="s">
        <v>2140</v>
      </c>
      <c r="E5" s="5" t="s">
        <v>2123</v>
      </c>
      <c r="F5" s="5" t="s">
        <v>368</v>
      </c>
      <c r="G5" s="5" t="s">
        <v>2141</v>
      </c>
      <c r="H5" s="5" t="s">
        <v>2142</v>
      </c>
      <c r="I5" s="5" t="s">
        <v>157</v>
      </c>
      <c r="J5" s="5" t="s">
        <v>263</v>
      </c>
      <c r="K5" s="5" t="s">
        <v>2143</v>
      </c>
      <c r="L5" s="5" t="s">
        <v>32</v>
      </c>
      <c r="M5" s="5" t="s">
        <v>265</v>
      </c>
      <c r="N5" s="5" t="s">
        <v>96</v>
      </c>
      <c r="O5" s="5"/>
      <c r="P5" s="5"/>
    </row>
    <row r="6" customFormat="false" ht="41.25" hidden="false" customHeight="true" outlineLevel="0" collapsed="false">
      <c r="A6" s="5" t="s">
        <v>2144</v>
      </c>
      <c r="B6" s="5" t="s">
        <v>223</v>
      </c>
      <c r="C6" s="5" t="s">
        <v>169</v>
      </c>
      <c r="D6" s="5" t="s">
        <v>2145</v>
      </c>
      <c r="E6" s="5" t="s">
        <v>2146</v>
      </c>
      <c r="F6" s="5" t="s">
        <v>368</v>
      </c>
      <c r="G6" s="5" t="s">
        <v>2147</v>
      </c>
      <c r="H6" s="5" t="s">
        <v>2148</v>
      </c>
      <c r="I6" s="5" t="s">
        <v>156</v>
      </c>
      <c r="J6" s="5" t="s">
        <v>263</v>
      </c>
      <c r="K6" s="5" t="s">
        <v>2149</v>
      </c>
      <c r="L6" s="5" t="s">
        <v>32</v>
      </c>
      <c r="M6" s="5" t="s">
        <v>265</v>
      </c>
      <c r="N6" s="5" t="s">
        <v>28</v>
      </c>
      <c r="O6" s="5"/>
      <c r="P6" s="5"/>
    </row>
    <row r="7" customFormat="false" ht="41.25" hidden="false" customHeight="true" outlineLevel="0" collapsed="false">
      <c r="A7" s="5" t="s">
        <v>2150</v>
      </c>
      <c r="B7" s="5" t="s">
        <v>223</v>
      </c>
      <c r="C7" s="5" t="s">
        <v>169</v>
      </c>
      <c r="D7" s="5" t="s">
        <v>2151</v>
      </c>
      <c r="E7" s="5" t="s">
        <v>2152</v>
      </c>
      <c r="F7" s="5" t="s">
        <v>2153</v>
      </c>
      <c r="G7" s="5" t="s">
        <v>2154</v>
      </c>
      <c r="H7" s="5" t="s">
        <v>2155</v>
      </c>
      <c r="I7" s="5" t="s">
        <v>156</v>
      </c>
      <c r="J7" s="5" t="s">
        <v>263</v>
      </c>
      <c r="K7" s="5" t="s">
        <v>2156</v>
      </c>
      <c r="L7" s="5" t="s">
        <v>32</v>
      </c>
      <c r="M7" s="5" t="s">
        <v>265</v>
      </c>
      <c r="N7" s="5" t="s">
        <v>28</v>
      </c>
      <c r="O7" s="5"/>
      <c r="P7" s="5"/>
    </row>
    <row r="8" customFormat="false" ht="15" hidden="false" customHeight="true" outlineLevel="0" collapsed="false">
      <c r="A8" s="5" t="s">
        <v>2157</v>
      </c>
      <c r="B8" s="5" t="s">
        <v>223</v>
      </c>
      <c r="C8" s="5" t="s">
        <v>169</v>
      </c>
      <c r="D8" s="5" t="s">
        <v>2158</v>
      </c>
      <c r="E8" s="5" t="s">
        <v>2152</v>
      </c>
      <c r="F8" s="5" t="s">
        <v>2159</v>
      </c>
      <c r="G8" s="5" t="s">
        <v>2160</v>
      </c>
      <c r="H8" s="5" t="s">
        <v>2161</v>
      </c>
      <c r="I8" s="5" t="s">
        <v>156</v>
      </c>
      <c r="J8" s="5" t="s">
        <v>286</v>
      </c>
      <c r="K8" s="5" t="s">
        <v>2162</v>
      </c>
      <c r="L8" s="5" t="s">
        <v>32</v>
      </c>
      <c r="M8" s="5" t="s">
        <v>265</v>
      </c>
      <c r="N8" s="5" t="s">
        <v>28</v>
      </c>
      <c r="O8" s="5"/>
      <c r="P8" s="5"/>
    </row>
    <row r="9" customFormat="false" ht="27.75" hidden="false" customHeight="true" outlineLevel="0" collapsed="false">
      <c r="A9" s="5" t="s">
        <v>2163</v>
      </c>
      <c r="B9" s="5" t="s">
        <v>223</v>
      </c>
      <c r="C9" s="5" t="s">
        <v>169</v>
      </c>
      <c r="D9" s="5" t="s">
        <v>2164</v>
      </c>
      <c r="E9" s="5" t="s">
        <v>2165</v>
      </c>
      <c r="F9" s="5" t="s">
        <v>2166</v>
      </c>
      <c r="G9" s="5" t="s">
        <v>2167</v>
      </c>
      <c r="H9" s="5" t="s">
        <v>2168</v>
      </c>
      <c r="I9" s="5" t="s">
        <v>156</v>
      </c>
      <c r="J9" s="5" t="s">
        <v>263</v>
      </c>
      <c r="K9" s="5" t="s">
        <v>2169</v>
      </c>
      <c r="L9" s="5" t="s">
        <v>32</v>
      </c>
      <c r="M9" s="5" t="s">
        <v>265</v>
      </c>
      <c r="N9" s="5" t="s">
        <v>28</v>
      </c>
      <c r="O9" s="5"/>
      <c r="P9" s="5"/>
    </row>
    <row r="10" customFormat="false" ht="27.75" hidden="false" customHeight="true" outlineLevel="0" collapsed="false">
      <c r="A10" s="5" t="s">
        <v>2170</v>
      </c>
      <c r="B10" s="5" t="s">
        <v>223</v>
      </c>
      <c r="C10" s="5" t="s">
        <v>169</v>
      </c>
      <c r="D10" s="5" t="s">
        <v>2171</v>
      </c>
      <c r="E10" s="5" t="s">
        <v>2172</v>
      </c>
      <c r="F10" s="5" t="s">
        <v>368</v>
      </c>
      <c r="G10" s="5" t="s">
        <v>2173</v>
      </c>
      <c r="H10" s="5" t="s">
        <v>2174</v>
      </c>
      <c r="I10" s="5" t="s">
        <v>157</v>
      </c>
      <c r="J10" s="5" t="s">
        <v>253</v>
      </c>
      <c r="K10" s="5" t="s">
        <v>2175</v>
      </c>
      <c r="L10" s="5" t="s">
        <v>32</v>
      </c>
      <c r="M10" s="5" t="s">
        <v>265</v>
      </c>
      <c r="N10" s="5" t="s">
        <v>96</v>
      </c>
      <c r="O10" s="5"/>
      <c r="P10" s="5"/>
    </row>
    <row r="11" customFormat="false" ht="15" hidden="false" customHeight="true" outlineLevel="0" collapsed="false">
      <c r="A11" s="5" t="s">
        <v>2176</v>
      </c>
      <c r="B11" s="5" t="s">
        <v>223</v>
      </c>
      <c r="C11" s="5" t="s">
        <v>169</v>
      </c>
      <c r="D11" s="5" t="s">
        <v>2177</v>
      </c>
      <c r="E11" s="5" t="s">
        <v>2178</v>
      </c>
      <c r="F11" s="5" t="s">
        <v>368</v>
      </c>
      <c r="G11" s="5" t="s">
        <v>2179</v>
      </c>
      <c r="H11" s="5" t="s">
        <v>1692</v>
      </c>
      <c r="I11" s="5" t="s">
        <v>157</v>
      </c>
      <c r="J11" s="5" t="s">
        <v>263</v>
      </c>
      <c r="K11" s="5" t="s">
        <v>2180</v>
      </c>
      <c r="L11" s="5" t="s">
        <v>32</v>
      </c>
      <c r="M11" s="5" t="s">
        <v>265</v>
      </c>
      <c r="N11" s="5" t="s">
        <v>96</v>
      </c>
      <c r="O11" s="5"/>
      <c r="P11" s="5"/>
    </row>
    <row r="12" customFormat="false" ht="41.25" hidden="false" customHeight="true" outlineLevel="0" collapsed="false">
      <c r="A12" s="5" t="s">
        <v>2181</v>
      </c>
      <c r="B12" s="5" t="s">
        <v>224</v>
      </c>
      <c r="C12" s="5" t="s">
        <v>169</v>
      </c>
      <c r="D12" s="5" t="s">
        <v>2182</v>
      </c>
      <c r="E12" s="5" t="s">
        <v>2183</v>
      </c>
      <c r="F12" s="5" t="s">
        <v>368</v>
      </c>
      <c r="G12" s="5" t="s">
        <v>2184</v>
      </c>
      <c r="H12" s="5" t="s">
        <v>2185</v>
      </c>
      <c r="I12" s="5" t="s">
        <v>156</v>
      </c>
      <c r="J12" s="5" t="s">
        <v>263</v>
      </c>
      <c r="K12" s="5" t="s">
        <v>2186</v>
      </c>
      <c r="L12" s="5" t="s">
        <v>32</v>
      </c>
      <c r="M12" s="5" t="s">
        <v>265</v>
      </c>
      <c r="N12" s="5" t="s">
        <v>28</v>
      </c>
      <c r="O12" s="5"/>
      <c r="P12" s="5"/>
    </row>
    <row r="13" customFormat="false" ht="27.75" hidden="false" customHeight="true" outlineLevel="0" collapsed="false">
      <c r="A13" s="5" t="s">
        <v>2187</v>
      </c>
      <c r="B13" s="5" t="s">
        <v>224</v>
      </c>
      <c r="C13" s="5" t="s">
        <v>169</v>
      </c>
      <c r="D13" s="5" t="s">
        <v>2188</v>
      </c>
      <c r="E13" s="5" t="s">
        <v>2189</v>
      </c>
      <c r="F13" s="5" t="s">
        <v>2190</v>
      </c>
      <c r="G13" s="5" t="s">
        <v>2191</v>
      </c>
      <c r="H13" s="5" t="s">
        <v>2192</v>
      </c>
      <c r="I13" s="5" t="s">
        <v>156</v>
      </c>
      <c r="J13" s="5" t="s">
        <v>263</v>
      </c>
      <c r="K13" s="5" t="s">
        <v>2193</v>
      </c>
      <c r="L13" s="5" t="s">
        <v>32</v>
      </c>
      <c r="M13" s="5" t="s">
        <v>265</v>
      </c>
      <c r="N13" s="5" t="s">
        <v>28</v>
      </c>
      <c r="O13" s="5"/>
      <c r="P13" s="5"/>
    </row>
    <row r="14" customFormat="false" ht="15" hidden="false" customHeight="true" outlineLevel="0" collapsed="false">
      <c r="A14" s="5" t="s">
        <v>2194</v>
      </c>
      <c r="B14" s="5" t="s">
        <v>224</v>
      </c>
      <c r="C14" s="5" t="s">
        <v>169</v>
      </c>
      <c r="D14" s="5" t="s">
        <v>2195</v>
      </c>
      <c r="E14" s="5" t="s">
        <v>2196</v>
      </c>
      <c r="F14" s="5" t="s">
        <v>2197</v>
      </c>
      <c r="G14" s="5" t="s">
        <v>2198</v>
      </c>
      <c r="H14" s="5" t="s">
        <v>2199</v>
      </c>
      <c r="I14" s="5" t="s">
        <v>157</v>
      </c>
      <c r="J14" s="5" t="s">
        <v>263</v>
      </c>
      <c r="K14" s="5" t="s">
        <v>2200</v>
      </c>
      <c r="L14" s="5" t="s">
        <v>32</v>
      </c>
      <c r="M14" s="5" t="s">
        <v>265</v>
      </c>
      <c r="N14" s="5" t="s">
        <v>96</v>
      </c>
      <c r="O14" s="5"/>
      <c r="P14" s="5"/>
    </row>
    <row r="15" customFormat="false" ht="27.75" hidden="false" customHeight="true" outlineLevel="0" collapsed="false">
      <c r="A15" s="5" t="s">
        <v>2201</v>
      </c>
      <c r="B15" s="5" t="s">
        <v>224</v>
      </c>
      <c r="C15" s="5" t="s">
        <v>169</v>
      </c>
      <c r="D15" s="5" t="s">
        <v>2202</v>
      </c>
      <c r="E15" s="5" t="s">
        <v>1502</v>
      </c>
      <c r="F15" s="5" t="s">
        <v>368</v>
      </c>
      <c r="G15" s="5" t="s">
        <v>2203</v>
      </c>
      <c r="H15" s="5" t="s">
        <v>2204</v>
      </c>
      <c r="I15" s="5" t="s">
        <v>157</v>
      </c>
      <c r="J15" s="5" t="s">
        <v>253</v>
      </c>
      <c r="K15" s="5" t="s">
        <v>2205</v>
      </c>
      <c r="L15" s="5" t="s">
        <v>32</v>
      </c>
      <c r="M15" s="5" t="s">
        <v>265</v>
      </c>
      <c r="N15" s="5" t="s">
        <v>96</v>
      </c>
      <c r="O15" s="5"/>
      <c r="P15" s="5"/>
    </row>
    <row r="16" customFormat="false" ht="27.75" hidden="false" customHeight="true" outlineLevel="0" collapsed="false">
      <c r="A16" s="5" t="s">
        <v>2206</v>
      </c>
      <c r="B16" s="5" t="s">
        <v>225</v>
      </c>
      <c r="C16" s="5" t="s">
        <v>169</v>
      </c>
      <c r="D16" s="5" t="s">
        <v>2207</v>
      </c>
      <c r="E16" s="5" t="s">
        <v>2208</v>
      </c>
      <c r="F16" s="5" t="s">
        <v>368</v>
      </c>
      <c r="G16" s="5" t="s">
        <v>2209</v>
      </c>
      <c r="H16" s="5" t="s">
        <v>2210</v>
      </c>
      <c r="I16" s="5" t="s">
        <v>156</v>
      </c>
      <c r="J16" s="5" t="s">
        <v>263</v>
      </c>
      <c r="K16" s="5" t="s">
        <v>2211</v>
      </c>
      <c r="L16" s="5" t="s">
        <v>32</v>
      </c>
      <c r="M16" s="5" t="s">
        <v>265</v>
      </c>
      <c r="N16" s="5" t="s">
        <v>28</v>
      </c>
      <c r="O16" s="5"/>
      <c r="P16" s="5"/>
    </row>
    <row r="17" customFormat="false" ht="27.75" hidden="false" customHeight="true" outlineLevel="0" collapsed="false">
      <c r="A17" s="5" t="s">
        <v>2212</v>
      </c>
      <c r="B17" s="5" t="s">
        <v>225</v>
      </c>
      <c r="C17" s="5" t="s">
        <v>169</v>
      </c>
      <c r="D17" s="5" t="s">
        <v>2213</v>
      </c>
      <c r="E17" s="5" t="s">
        <v>2208</v>
      </c>
      <c r="F17" s="5" t="s">
        <v>368</v>
      </c>
      <c r="G17" s="5" t="s">
        <v>2214</v>
      </c>
      <c r="H17" s="5" t="s">
        <v>2215</v>
      </c>
      <c r="I17" s="5" t="s">
        <v>156</v>
      </c>
      <c r="J17" s="5" t="s">
        <v>263</v>
      </c>
      <c r="K17" s="5" t="s">
        <v>2216</v>
      </c>
      <c r="L17" s="5" t="s">
        <v>32</v>
      </c>
      <c r="M17" s="5" t="s">
        <v>265</v>
      </c>
      <c r="N17" s="5" t="s">
        <v>28</v>
      </c>
      <c r="O17" s="5"/>
      <c r="P17" s="5"/>
    </row>
    <row r="18" customFormat="false" ht="15" hidden="false" customHeight="true" outlineLevel="0" collapsed="false">
      <c r="A18" s="5" t="s">
        <v>2217</v>
      </c>
      <c r="B18" s="5" t="s">
        <v>225</v>
      </c>
      <c r="C18" s="5" t="s">
        <v>169</v>
      </c>
      <c r="D18" s="5" t="s">
        <v>2218</v>
      </c>
      <c r="E18" s="5" t="s">
        <v>2219</v>
      </c>
      <c r="F18" s="5" t="s">
        <v>2220</v>
      </c>
      <c r="G18" s="5" t="s">
        <v>2221</v>
      </c>
      <c r="H18" s="5" t="s">
        <v>2222</v>
      </c>
      <c r="I18" s="5" t="s">
        <v>157</v>
      </c>
      <c r="J18" s="5" t="s">
        <v>263</v>
      </c>
      <c r="K18" s="5" t="s">
        <v>2223</v>
      </c>
      <c r="L18" s="5" t="s">
        <v>32</v>
      </c>
      <c r="M18" s="5" t="s">
        <v>265</v>
      </c>
      <c r="N18" s="5" t="s">
        <v>96</v>
      </c>
      <c r="O18" s="5"/>
      <c r="P18" s="5"/>
    </row>
    <row r="19" customFormat="false" ht="15" hidden="false" customHeight="true" outlineLevel="0" collapsed="false">
      <c r="A19" s="5" t="s">
        <v>2224</v>
      </c>
      <c r="B19" s="5" t="s">
        <v>225</v>
      </c>
      <c r="C19" s="5" t="s">
        <v>169</v>
      </c>
      <c r="D19" s="5" t="s">
        <v>2225</v>
      </c>
      <c r="E19" s="5" t="s">
        <v>2226</v>
      </c>
      <c r="F19" s="5" t="s">
        <v>2197</v>
      </c>
      <c r="G19" s="5" t="s">
        <v>2227</v>
      </c>
      <c r="H19" s="5" t="s">
        <v>2228</v>
      </c>
      <c r="I19" s="5" t="s">
        <v>156</v>
      </c>
      <c r="J19" s="5" t="s">
        <v>263</v>
      </c>
      <c r="K19" s="5" t="s">
        <v>2229</v>
      </c>
      <c r="L19" s="5" t="s">
        <v>32</v>
      </c>
      <c r="M19" s="5" t="s">
        <v>265</v>
      </c>
      <c r="N19" s="5" t="s">
        <v>28</v>
      </c>
      <c r="O19" s="5"/>
      <c r="P19" s="5"/>
    </row>
    <row r="20" customFormat="false" ht="15" hidden="false" customHeight="true" outlineLevel="0" collapsed="false">
      <c r="A20" s="5" t="s">
        <v>2230</v>
      </c>
      <c r="B20" s="5" t="s">
        <v>225</v>
      </c>
      <c r="C20" s="5" t="s">
        <v>169</v>
      </c>
      <c r="D20" s="5" t="s">
        <v>2231</v>
      </c>
      <c r="E20" s="5" t="s">
        <v>2232</v>
      </c>
      <c r="F20" s="5" t="s">
        <v>368</v>
      </c>
      <c r="G20" s="5" t="s">
        <v>2233</v>
      </c>
      <c r="H20" s="5" t="s">
        <v>2234</v>
      </c>
      <c r="I20" s="5" t="s">
        <v>157</v>
      </c>
      <c r="J20" s="5" t="s">
        <v>263</v>
      </c>
      <c r="K20" s="5" t="s">
        <v>2235</v>
      </c>
      <c r="L20" s="5" t="s">
        <v>32</v>
      </c>
      <c r="M20" s="5" t="s">
        <v>265</v>
      </c>
      <c r="N20" s="5" t="s">
        <v>96</v>
      </c>
      <c r="O20" s="5"/>
      <c r="P20" s="5"/>
    </row>
    <row r="21" customFormat="false" ht="15" hidden="false" customHeight="true" outlineLevel="0" collapsed="false">
      <c r="A21" s="5" t="s">
        <v>2236</v>
      </c>
      <c r="B21" s="5" t="s">
        <v>225</v>
      </c>
      <c r="C21" s="5" t="s">
        <v>169</v>
      </c>
      <c r="D21" s="5" t="s">
        <v>2237</v>
      </c>
      <c r="E21" s="5" t="s">
        <v>2238</v>
      </c>
      <c r="F21" s="5" t="s">
        <v>368</v>
      </c>
      <c r="G21" s="5" t="s">
        <v>2239</v>
      </c>
      <c r="H21" s="5" t="s">
        <v>2240</v>
      </c>
      <c r="I21" s="5" t="s">
        <v>158</v>
      </c>
      <c r="J21" s="5" t="s">
        <v>253</v>
      </c>
      <c r="K21" s="5" t="s">
        <v>2241</v>
      </c>
      <c r="L21" s="5" t="s">
        <v>32</v>
      </c>
      <c r="M21" s="5" t="s">
        <v>265</v>
      </c>
      <c r="N21" s="5" t="s">
        <v>96</v>
      </c>
      <c r="O21" s="5"/>
      <c r="P21" s="5"/>
    </row>
    <row r="22" customFormat="false" ht="15" hidden="false" customHeight="true" outlineLevel="0" collapsed="false">
      <c r="A22" s="5" t="s">
        <v>2242</v>
      </c>
      <c r="B22" s="5" t="s">
        <v>225</v>
      </c>
      <c r="C22" s="5" t="s">
        <v>169</v>
      </c>
      <c r="D22" s="5" t="s">
        <v>2243</v>
      </c>
      <c r="E22" s="5" t="s">
        <v>2244</v>
      </c>
      <c r="F22" s="5" t="s">
        <v>368</v>
      </c>
      <c r="G22" s="5" t="s">
        <v>2245</v>
      </c>
      <c r="H22" s="5" t="s">
        <v>2246</v>
      </c>
      <c r="I22" s="5" t="s">
        <v>158</v>
      </c>
      <c r="J22" s="5" t="s">
        <v>286</v>
      </c>
      <c r="K22" s="5" t="s">
        <v>2247</v>
      </c>
      <c r="L22" s="5" t="s">
        <v>32</v>
      </c>
      <c r="M22" s="5" t="s">
        <v>265</v>
      </c>
      <c r="N22" s="5" t="s">
        <v>96</v>
      </c>
      <c r="O22" s="5"/>
      <c r="P22" s="5"/>
    </row>
    <row r="23" customFormat="false" ht="27.75" hidden="false" customHeight="true" outlineLevel="0" collapsed="false">
      <c r="A23" s="5" t="s">
        <v>2248</v>
      </c>
      <c r="B23" s="5" t="s">
        <v>226</v>
      </c>
      <c r="C23" s="5" t="s">
        <v>169</v>
      </c>
      <c r="D23" s="5" t="s">
        <v>2249</v>
      </c>
      <c r="E23" s="5" t="s">
        <v>2123</v>
      </c>
      <c r="F23" s="5" t="s">
        <v>2250</v>
      </c>
      <c r="G23" s="5" t="s">
        <v>2251</v>
      </c>
      <c r="H23" s="5" t="s">
        <v>2252</v>
      </c>
      <c r="I23" s="5" t="s">
        <v>156</v>
      </c>
      <c r="J23" s="5" t="s">
        <v>263</v>
      </c>
      <c r="K23" s="5" t="s">
        <v>2253</v>
      </c>
      <c r="L23" s="5" t="s">
        <v>32</v>
      </c>
      <c r="M23" s="5" t="s">
        <v>265</v>
      </c>
      <c r="N23" s="5" t="s">
        <v>28</v>
      </c>
      <c r="O23" s="5"/>
      <c r="P23" s="5"/>
    </row>
    <row r="24" customFormat="false" ht="15" hidden="false" customHeight="true" outlineLevel="0" collapsed="false">
      <c r="A24" s="5" t="s">
        <v>2254</v>
      </c>
      <c r="B24" s="5" t="s">
        <v>226</v>
      </c>
      <c r="C24" s="5" t="s">
        <v>169</v>
      </c>
      <c r="D24" s="5" t="s">
        <v>2255</v>
      </c>
      <c r="E24" s="5" t="s">
        <v>2123</v>
      </c>
      <c r="F24" s="5" t="s">
        <v>2256</v>
      </c>
      <c r="G24" s="5" t="s">
        <v>2257</v>
      </c>
      <c r="H24" s="5" t="s">
        <v>2258</v>
      </c>
      <c r="I24" s="5" t="s">
        <v>156</v>
      </c>
      <c r="J24" s="5" t="s">
        <v>263</v>
      </c>
      <c r="K24" s="5" t="s">
        <v>2259</v>
      </c>
      <c r="L24" s="5" t="s">
        <v>32</v>
      </c>
      <c r="M24" s="5" t="s">
        <v>265</v>
      </c>
      <c r="N24" s="5" t="s">
        <v>28</v>
      </c>
      <c r="O24" s="5"/>
      <c r="P24" s="5"/>
    </row>
    <row r="25" customFormat="false" ht="41.25" hidden="false" customHeight="true" outlineLevel="0" collapsed="false">
      <c r="A25" s="5" t="s">
        <v>2260</v>
      </c>
      <c r="B25" s="5" t="s">
        <v>226</v>
      </c>
      <c r="C25" s="5" t="s">
        <v>169</v>
      </c>
      <c r="D25" s="5" t="s">
        <v>2261</v>
      </c>
      <c r="E25" s="5" t="s">
        <v>2262</v>
      </c>
      <c r="F25" s="5" t="s">
        <v>2263</v>
      </c>
      <c r="G25" s="5" t="s">
        <v>2264</v>
      </c>
      <c r="H25" s="5" t="s">
        <v>2265</v>
      </c>
      <c r="I25" s="5" t="s">
        <v>156</v>
      </c>
      <c r="J25" s="5" t="s">
        <v>263</v>
      </c>
      <c r="K25" s="5" t="s">
        <v>2266</v>
      </c>
      <c r="L25" s="5" t="s">
        <v>32</v>
      </c>
      <c r="M25" s="5" t="s">
        <v>265</v>
      </c>
      <c r="N25" s="5" t="s">
        <v>28</v>
      </c>
      <c r="O25" s="5"/>
      <c r="P25" s="5"/>
    </row>
    <row r="26" customFormat="false" ht="15" hidden="false" customHeight="true" outlineLevel="0" collapsed="false">
      <c r="A26" s="5" t="s">
        <v>2267</v>
      </c>
      <c r="B26" s="5" t="s">
        <v>226</v>
      </c>
      <c r="C26" s="5" t="s">
        <v>169</v>
      </c>
      <c r="D26" s="5" t="s">
        <v>2268</v>
      </c>
      <c r="E26" s="5" t="s">
        <v>2262</v>
      </c>
      <c r="F26" s="5" t="s">
        <v>2159</v>
      </c>
      <c r="G26" s="5" t="s">
        <v>2269</v>
      </c>
      <c r="H26" s="5" t="s">
        <v>2270</v>
      </c>
      <c r="I26" s="5" t="s">
        <v>156</v>
      </c>
      <c r="J26" s="5" t="s">
        <v>286</v>
      </c>
      <c r="K26" s="5" t="s">
        <v>2271</v>
      </c>
      <c r="L26" s="5" t="s">
        <v>32</v>
      </c>
      <c r="M26" s="5" t="s">
        <v>265</v>
      </c>
      <c r="N26" s="5" t="s">
        <v>28</v>
      </c>
      <c r="O26" s="5"/>
      <c r="P26" s="5"/>
    </row>
    <row r="27" customFormat="false" ht="15" hidden="false" customHeight="true" outlineLevel="0" collapsed="false">
      <c r="A27" s="5" t="s">
        <v>2272</v>
      </c>
      <c r="B27" s="5" t="s">
        <v>226</v>
      </c>
      <c r="C27" s="5" t="s">
        <v>169</v>
      </c>
      <c r="D27" s="5" t="s">
        <v>2273</v>
      </c>
      <c r="E27" s="5" t="s">
        <v>2274</v>
      </c>
      <c r="F27" s="5" t="s">
        <v>368</v>
      </c>
      <c r="G27" s="5" t="s">
        <v>2275</v>
      </c>
      <c r="H27" s="5" t="s">
        <v>2276</v>
      </c>
      <c r="I27" s="5" t="s">
        <v>156</v>
      </c>
      <c r="J27" s="5" t="s">
        <v>263</v>
      </c>
      <c r="K27" s="5" t="s">
        <v>2277</v>
      </c>
      <c r="L27" s="5" t="s">
        <v>32</v>
      </c>
      <c r="M27" s="5" t="s">
        <v>265</v>
      </c>
      <c r="N27" s="5" t="s">
        <v>28</v>
      </c>
      <c r="O27" s="5"/>
      <c r="P27" s="5"/>
    </row>
    <row r="28" customFormat="false" ht="27.75" hidden="false" customHeight="true" outlineLevel="0" collapsed="false">
      <c r="A28" s="5" t="s">
        <v>2278</v>
      </c>
      <c r="B28" s="5" t="s">
        <v>226</v>
      </c>
      <c r="C28" s="5" t="s">
        <v>169</v>
      </c>
      <c r="D28" s="5" t="s">
        <v>2279</v>
      </c>
      <c r="E28" s="5" t="s">
        <v>368</v>
      </c>
      <c r="F28" s="5" t="s">
        <v>368</v>
      </c>
      <c r="G28" s="5" t="s">
        <v>2280</v>
      </c>
      <c r="H28" s="5" t="s">
        <v>2281</v>
      </c>
      <c r="I28" s="5" t="s">
        <v>158</v>
      </c>
      <c r="J28" s="5" t="s">
        <v>253</v>
      </c>
      <c r="K28" s="5" t="s">
        <v>2282</v>
      </c>
      <c r="L28" s="5" t="s">
        <v>32</v>
      </c>
      <c r="M28" s="5" t="s">
        <v>265</v>
      </c>
      <c r="N28" s="5" t="s">
        <v>96</v>
      </c>
      <c r="O28" s="5"/>
      <c r="P28" s="5"/>
    </row>
    <row r="29" customFormat="false" ht="27.75" hidden="false" customHeight="true" outlineLevel="0" collapsed="false">
      <c r="A29" s="5" t="s">
        <v>2283</v>
      </c>
      <c r="B29" s="5" t="s">
        <v>227</v>
      </c>
      <c r="C29" s="5" t="s">
        <v>169</v>
      </c>
      <c r="D29" s="5" t="s">
        <v>2284</v>
      </c>
      <c r="E29" s="5" t="s">
        <v>2285</v>
      </c>
      <c r="F29" s="5" t="s">
        <v>2286</v>
      </c>
      <c r="G29" s="5" t="s">
        <v>2287</v>
      </c>
      <c r="H29" s="5" t="s">
        <v>2288</v>
      </c>
      <c r="I29" s="5" t="s">
        <v>157</v>
      </c>
      <c r="J29" s="5" t="s">
        <v>263</v>
      </c>
      <c r="K29" s="5" t="s">
        <v>2289</v>
      </c>
      <c r="L29" s="5" t="s">
        <v>32</v>
      </c>
      <c r="M29" s="5" t="s">
        <v>265</v>
      </c>
      <c r="N29" s="5" t="s">
        <v>96</v>
      </c>
      <c r="O29" s="5"/>
      <c r="P29" s="5"/>
    </row>
    <row r="30" customFormat="false" ht="27.75" hidden="false" customHeight="true" outlineLevel="0" collapsed="false">
      <c r="A30" s="5" t="s">
        <v>2290</v>
      </c>
      <c r="B30" s="5" t="s">
        <v>227</v>
      </c>
      <c r="C30" s="5" t="s">
        <v>169</v>
      </c>
      <c r="D30" s="5" t="s">
        <v>2291</v>
      </c>
      <c r="E30" s="5" t="s">
        <v>2292</v>
      </c>
      <c r="F30" s="5" t="s">
        <v>368</v>
      </c>
      <c r="G30" s="5" t="s">
        <v>2293</v>
      </c>
      <c r="H30" s="5" t="s">
        <v>2294</v>
      </c>
      <c r="I30" s="5" t="s">
        <v>157</v>
      </c>
      <c r="J30" s="5" t="s">
        <v>278</v>
      </c>
      <c r="K30" s="5" t="s">
        <v>2295</v>
      </c>
      <c r="L30" s="5" t="s">
        <v>32</v>
      </c>
      <c r="M30" s="5" t="s">
        <v>265</v>
      </c>
      <c r="N30" s="5" t="s">
        <v>96</v>
      </c>
      <c r="O30" s="5"/>
      <c r="P30" s="5"/>
    </row>
    <row r="31" customFormat="false" ht="15" hidden="false" customHeight="true" outlineLevel="0" collapsed="false">
      <c r="A31" s="5" t="s">
        <v>2296</v>
      </c>
      <c r="B31" s="5" t="s">
        <v>227</v>
      </c>
      <c r="C31" s="5" t="s">
        <v>169</v>
      </c>
      <c r="D31" s="5" t="s">
        <v>2297</v>
      </c>
      <c r="E31" s="5" t="s">
        <v>2298</v>
      </c>
      <c r="F31" s="5" t="s">
        <v>283</v>
      </c>
      <c r="G31" s="5" t="s">
        <v>2299</v>
      </c>
      <c r="H31" s="5" t="s">
        <v>2300</v>
      </c>
      <c r="I31" s="5" t="s">
        <v>157</v>
      </c>
      <c r="J31" s="5" t="s">
        <v>286</v>
      </c>
      <c r="K31" s="5" t="s">
        <v>2301</v>
      </c>
      <c r="L31" s="5" t="s">
        <v>32</v>
      </c>
      <c r="M31" s="5" t="s">
        <v>265</v>
      </c>
      <c r="N31" s="5" t="s">
        <v>96</v>
      </c>
      <c r="O31" s="5"/>
      <c r="P31" s="5"/>
    </row>
    <row r="32" customFormat="false" ht="15" hidden="false" customHeight="true" outlineLevel="0" collapsed="false">
      <c r="A32" s="5" t="s">
        <v>2302</v>
      </c>
      <c r="B32" s="5" t="s">
        <v>227</v>
      </c>
      <c r="C32" s="5" t="s">
        <v>169</v>
      </c>
      <c r="D32" s="5" t="s">
        <v>2303</v>
      </c>
      <c r="E32" s="5" t="s">
        <v>2123</v>
      </c>
      <c r="F32" s="5" t="s">
        <v>368</v>
      </c>
      <c r="G32" s="5" t="s">
        <v>2304</v>
      </c>
      <c r="H32" s="5" t="s">
        <v>2305</v>
      </c>
      <c r="I32" s="5" t="s">
        <v>156</v>
      </c>
      <c r="J32" s="5" t="s">
        <v>278</v>
      </c>
      <c r="K32" s="5" t="s">
        <v>2306</v>
      </c>
      <c r="L32" s="5" t="s">
        <v>32</v>
      </c>
      <c r="M32" s="5" t="s">
        <v>265</v>
      </c>
      <c r="N32" s="5" t="s">
        <v>28</v>
      </c>
      <c r="O32" s="5"/>
      <c r="P32" s="5"/>
    </row>
    <row r="33" customFormat="false" ht="15" hidden="false" customHeight="true" outlineLevel="0" collapsed="false">
      <c r="A33" s="5" t="s">
        <v>2307</v>
      </c>
      <c r="B33" s="5" t="s">
        <v>227</v>
      </c>
      <c r="C33" s="5" t="s">
        <v>169</v>
      </c>
      <c r="D33" s="5" t="s">
        <v>2308</v>
      </c>
      <c r="E33" s="5" t="s">
        <v>2292</v>
      </c>
      <c r="F33" s="5" t="s">
        <v>368</v>
      </c>
      <c r="G33" s="5" t="s">
        <v>2309</v>
      </c>
      <c r="H33" s="5" t="s">
        <v>2310</v>
      </c>
      <c r="I33" s="5" t="s">
        <v>156</v>
      </c>
      <c r="J33" s="5" t="s">
        <v>278</v>
      </c>
      <c r="K33" s="5" t="s">
        <v>2311</v>
      </c>
      <c r="L33" s="5" t="s">
        <v>32</v>
      </c>
      <c r="M33" s="5" t="s">
        <v>265</v>
      </c>
      <c r="N33" s="5" t="s">
        <v>28</v>
      </c>
      <c r="O33" s="5"/>
      <c r="P33" s="5"/>
    </row>
    <row r="34" customFormat="false" ht="41.25" hidden="false" customHeight="true" outlineLevel="0" collapsed="false">
      <c r="A34" s="5" t="s">
        <v>2312</v>
      </c>
      <c r="B34" s="5" t="s">
        <v>228</v>
      </c>
      <c r="C34" s="5" t="s">
        <v>169</v>
      </c>
      <c r="D34" s="5" t="s">
        <v>2313</v>
      </c>
      <c r="E34" s="5" t="s">
        <v>2123</v>
      </c>
      <c r="F34" s="5" t="s">
        <v>2314</v>
      </c>
      <c r="G34" s="5" t="s">
        <v>2315</v>
      </c>
      <c r="H34" s="5" t="s">
        <v>2316</v>
      </c>
      <c r="I34" s="5" t="s">
        <v>157</v>
      </c>
      <c r="J34" s="5" t="s">
        <v>263</v>
      </c>
      <c r="K34" s="5" t="s">
        <v>2317</v>
      </c>
      <c r="L34" s="5" t="s">
        <v>32</v>
      </c>
      <c r="M34" s="5" t="s">
        <v>265</v>
      </c>
      <c r="N34" s="5" t="s">
        <v>96</v>
      </c>
      <c r="O34" s="5"/>
      <c r="P34" s="5"/>
    </row>
    <row r="35" customFormat="false" ht="15" hidden="false" customHeight="true" outlineLevel="0" collapsed="false">
      <c r="A35" s="5" t="s">
        <v>2318</v>
      </c>
      <c r="B35" s="5" t="s">
        <v>228</v>
      </c>
      <c r="C35" s="5" t="s">
        <v>169</v>
      </c>
      <c r="D35" s="5" t="s">
        <v>2319</v>
      </c>
      <c r="E35" s="5" t="s">
        <v>2320</v>
      </c>
      <c r="F35" s="5" t="s">
        <v>2321</v>
      </c>
      <c r="G35" s="5" t="s">
        <v>2322</v>
      </c>
      <c r="H35" s="5" t="s">
        <v>2323</v>
      </c>
      <c r="I35" s="5" t="s">
        <v>157</v>
      </c>
      <c r="J35" s="5" t="s">
        <v>286</v>
      </c>
      <c r="K35" s="5" t="s">
        <v>2324</v>
      </c>
      <c r="L35" s="5" t="s">
        <v>32</v>
      </c>
      <c r="M35" s="5" t="s">
        <v>265</v>
      </c>
      <c r="N35" s="5" t="s">
        <v>96</v>
      </c>
      <c r="O35" s="5"/>
      <c r="P35" s="5"/>
    </row>
    <row r="36" customFormat="false" ht="27.75" hidden="false" customHeight="true" outlineLevel="0" collapsed="false">
      <c r="A36" s="5" t="s">
        <v>2325</v>
      </c>
      <c r="B36" s="5" t="s">
        <v>228</v>
      </c>
      <c r="C36" s="5" t="s">
        <v>169</v>
      </c>
      <c r="D36" s="5" t="s">
        <v>2326</v>
      </c>
      <c r="E36" s="5" t="s">
        <v>2327</v>
      </c>
      <c r="F36" s="5" t="s">
        <v>368</v>
      </c>
      <c r="G36" s="5" t="s">
        <v>2328</v>
      </c>
      <c r="H36" s="5" t="s">
        <v>2329</v>
      </c>
      <c r="I36" s="5" t="s">
        <v>157</v>
      </c>
      <c r="J36" s="5" t="s">
        <v>263</v>
      </c>
      <c r="K36" s="5" t="s">
        <v>2330</v>
      </c>
      <c r="L36" s="5" t="s">
        <v>32</v>
      </c>
      <c r="M36" s="5" t="s">
        <v>265</v>
      </c>
      <c r="N36" s="5" t="s">
        <v>96</v>
      </c>
      <c r="O36" s="5"/>
      <c r="P36" s="5"/>
    </row>
    <row r="37" customFormat="false" ht="15" hidden="false" customHeight="true" outlineLevel="0" collapsed="false">
      <c r="A37" s="5" t="s">
        <v>2331</v>
      </c>
      <c r="B37" s="5" t="s">
        <v>228</v>
      </c>
      <c r="C37" s="5" t="s">
        <v>169</v>
      </c>
      <c r="D37" s="5" t="s">
        <v>2332</v>
      </c>
      <c r="E37" s="5" t="s">
        <v>2333</v>
      </c>
      <c r="F37" s="5" t="s">
        <v>368</v>
      </c>
      <c r="G37" s="5" t="s">
        <v>2334</v>
      </c>
      <c r="H37" s="5" t="s">
        <v>2335</v>
      </c>
      <c r="I37" s="5" t="s">
        <v>157</v>
      </c>
      <c r="J37" s="5" t="s">
        <v>286</v>
      </c>
      <c r="K37" s="5" t="s">
        <v>2336</v>
      </c>
      <c r="L37" s="5" t="s">
        <v>32</v>
      </c>
      <c r="M37" s="5" t="s">
        <v>265</v>
      </c>
      <c r="N37" s="5" t="s">
        <v>96</v>
      </c>
      <c r="O37" s="5"/>
      <c r="P37" s="5"/>
    </row>
    <row r="38" customFormat="false" ht="27.75" hidden="false" customHeight="true" outlineLevel="0" collapsed="false">
      <c r="A38" s="5" t="s">
        <v>2337</v>
      </c>
      <c r="B38" s="5" t="s">
        <v>228</v>
      </c>
      <c r="C38" s="5" t="s">
        <v>169</v>
      </c>
      <c r="D38" s="5" t="s">
        <v>2338</v>
      </c>
      <c r="E38" s="5" t="s">
        <v>2123</v>
      </c>
      <c r="F38" s="5" t="s">
        <v>2339</v>
      </c>
      <c r="G38" s="5" t="s">
        <v>2340</v>
      </c>
      <c r="H38" s="5" t="s">
        <v>2341</v>
      </c>
      <c r="I38" s="5" t="s">
        <v>158</v>
      </c>
      <c r="J38" s="5" t="s">
        <v>263</v>
      </c>
      <c r="K38" s="5" t="s">
        <v>2342</v>
      </c>
      <c r="L38" s="5" t="s">
        <v>32</v>
      </c>
      <c r="M38" s="5" t="s">
        <v>265</v>
      </c>
      <c r="N38" s="5" t="s">
        <v>96</v>
      </c>
      <c r="O38" s="5"/>
      <c r="P38" s="5"/>
    </row>
    <row r="39" customFormat="false" ht="54.75" hidden="false" customHeight="true" outlineLevel="0" collapsed="false">
      <c r="A39" s="5" t="s">
        <v>2343</v>
      </c>
      <c r="B39" s="5" t="s">
        <v>229</v>
      </c>
      <c r="C39" s="5" t="s">
        <v>169</v>
      </c>
      <c r="D39" s="5" t="s">
        <v>2344</v>
      </c>
      <c r="E39" s="5" t="s">
        <v>2123</v>
      </c>
      <c r="F39" s="5" t="s">
        <v>2345</v>
      </c>
      <c r="G39" s="5" t="s">
        <v>2346</v>
      </c>
      <c r="H39" s="5" t="s">
        <v>2347</v>
      </c>
      <c r="I39" s="5" t="s">
        <v>157</v>
      </c>
      <c r="J39" s="5" t="s">
        <v>263</v>
      </c>
      <c r="K39" s="5" t="s">
        <v>2348</v>
      </c>
      <c r="L39" s="5" t="s">
        <v>32</v>
      </c>
      <c r="M39" s="5" t="s">
        <v>265</v>
      </c>
      <c r="N39" s="5" t="s">
        <v>96</v>
      </c>
      <c r="O39" s="5"/>
      <c r="P39" s="5"/>
    </row>
    <row r="40" customFormat="false" ht="15" hidden="false" customHeight="true" outlineLevel="0" collapsed="false">
      <c r="A40" s="5" t="s">
        <v>2349</v>
      </c>
      <c r="B40" s="5" t="s">
        <v>229</v>
      </c>
      <c r="C40" s="5" t="s">
        <v>169</v>
      </c>
      <c r="D40" s="5" t="s">
        <v>2350</v>
      </c>
      <c r="E40" s="5" t="s">
        <v>2123</v>
      </c>
      <c r="F40" s="5" t="s">
        <v>2351</v>
      </c>
      <c r="G40" s="5" t="s">
        <v>1674</v>
      </c>
      <c r="H40" s="5" t="s">
        <v>2352</v>
      </c>
      <c r="I40" s="5" t="s">
        <v>158</v>
      </c>
      <c r="J40" s="5" t="s">
        <v>286</v>
      </c>
      <c r="K40" s="5" t="s">
        <v>2353</v>
      </c>
      <c r="L40" s="5" t="s">
        <v>32</v>
      </c>
      <c r="M40" s="5" t="s">
        <v>265</v>
      </c>
      <c r="N40" s="5" t="s">
        <v>96</v>
      </c>
      <c r="O40" s="5"/>
      <c r="P40" s="5"/>
    </row>
    <row r="41" customFormat="false" ht="41.25" hidden="false" customHeight="true" outlineLevel="0" collapsed="false">
      <c r="A41" s="5" t="s">
        <v>2354</v>
      </c>
      <c r="B41" s="5" t="s">
        <v>229</v>
      </c>
      <c r="C41" s="5" t="s">
        <v>169</v>
      </c>
      <c r="D41" s="5" t="s">
        <v>2355</v>
      </c>
      <c r="E41" s="5" t="s">
        <v>2123</v>
      </c>
      <c r="F41" s="5" t="s">
        <v>2356</v>
      </c>
      <c r="G41" s="5" t="s">
        <v>2357</v>
      </c>
      <c r="H41" s="5" t="s">
        <v>2358</v>
      </c>
      <c r="I41" s="5" t="s">
        <v>157</v>
      </c>
      <c r="J41" s="5" t="s">
        <v>263</v>
      </c>
      <c r="K41" s="5" t="s">
        <v>2359</v>
      </c>
      <c r="L41" s="5" t="s">
        <v>32</v>
      </c>
      <c r="M41" s="5" t="s">
        <v>265</v>
      </c>
      <c r="N41" s="5" t="s">
        <v>96</v>
      </c>
      <c r="O41" s="5"/>
      <c r="P41" s="5"/>
    </row>
    <row r="42" customFormat="false" ht="27.75" hidden="false" customHeight="true" outlineLevel="0" collapsed="false">
      <c r="A42" s="5" t="s">
        <v>2360</v>
      </c>
      <c r="B42" s="5" t="s">
        <v>229</v>
      </c>
      <c r="C42" s="5" t="s">
        <v>169</v>
      </c>
      <c r="D42" s="5" t="s">
        <v>2361</v>
      </c>
      <c r="E42" s="5" t="s">
        <v>2123</v>
      </c>
      <c r="F42" s="5" t="s">
        <v>2362</v>
      </c>
      <c r="G42" s="5" t="s">
        <v>2363</v>
      </c>
      <c r="H42" s="5" t="s">
        <v>2364</v>
      </c>
      <c r="I42" s="5" t="s">
        <v>158</v>
      </c>
      <c r="J42" s="5" t="s">
        <v>311</v>
      </c>
      <c r="K42" s="5" t="s">
        <v>2365</v>
      </c>
      <c r="L42" s="5" t="s">
        <v>32</v>
      </c>
      <c r="M42" s="5" t="s">
        <v>265</v>
      </c>
      <c r="N42" s="5" t="s">
        <v>96</v>
      </c>
      <c r="O42" s="5"/>
      <c r="P42" s="5"/>
    </row>
    <row r="43" customFormat="false" ht="27.75" hidden="false" customHeight="true" outlineLevel="0" collapsed="false">
      <c r="A43" s="5" t="s">
        <v>2366</v>
      </c>
      <c r="B43" s="5" t="s">
        <v>230</v>
      </c>
      <c r="C43" s="5" t="s">
        <v>169</v>
      </c>
      <c r="D43" s="5" t="s">
        <v>2367</v>
      </c>
      <c r="E43" s="5" t="s">
        <v>2123</v>
      </c>
      <c r="F43" s="5" t="s">
        <v>2368</v>
      </c>
      <c r="G43" s="5" t="s">
        <v>2369</v>
      </c>
      <c r="H43" s="5" t="s">
        <v>2370</v>
      </c>
      <c r="I43" s="5" t="s">
        <v>157</v>
      </c>
      <c r="J43" s="5" t="s">
        <v>263</v>
      </c>
      <c r="K43" s="5" t="s">
        <v>2371</v>
      </c>
      <c r="L43" s="5" t="s">
        <v>32</v>
      </c>
      <c r="M43" s="5" t="s">
        <v>265</v>
      </c>
      <c r="N43" s="5" t="s">
        <v>96</v>
      </c>
      <c r="O43" s="5"/>
      <c r="P43" s="5"/>
    </row>
    <row r="44" customFormat="false" ht="27.75" hidden="false" customHeight="true" outlineLevel="0" collapsed="false">
      <c r="A44" s="5" t="s">
        <v>2372</v>
      </c>
      <c r="B44" s="5" t="s">
        <v>230</v>
      </c>
      <c r="C44" s="5" t="s">
        <v>169</v>
      </c>
      <c r="D44" s="5" t="s">
        <v>2373</v>
      </c>
      <c r="E44" s="5" t="s">
        <v>2123</v>
      </c>
      <c r="F44" s="5" t="s">
        <v>2374</v>
      </c>
      <c r="G44" s="5" t="s">
        <v>2375</v>
      </c>
      <c r="H44" s="5" t="s">
        <v>2376</v>
      </c>
      <c r="I44" s="5" t="s">
        <v>157</v>
      </c>
      <c r="J44" s="5" t="s">
        <v>311</v>
      </c>
      <c r="K44" s="5" t="s">
        <v>2377</v>
      </c>
      <c r="L44" s="5" t="s">
        <v>32</v>
      </c>
      <c r="M44" s="5" t="s">
        <v>265</v>
      </c>
      <c r="N44" s="5" t="s">
        <v>96</v>
      </c>
      <c r="O44" s="5"/>
      <c r="P44" s="5"/>
    </row>
    <row r="45" customFormat="false" ht="15" hidden="false" customHeight="true" outlineLevel="0" collapsed="false">
      <c r="A45" s="5" t="s">
        <v>2378</v>
      </c>
      <c r="B45" s="5" t="s">
        <v>230</v>
      </c>
      <c r="C45" s="5" t="s">
        <v>169</v>
      </c>
      <c r="D45" s="5" t="s">
        <v>2379</v>
      </c>
      <c r="E45" s="5" t="s">
        <v>2123</v>
      </c>
      <c r="F45" s="5" t="s">
        <v>2380</v>
      </c>
      <c r="G45" s="5" t="s">
        <v>2375</v>
      </c>
      <c r="H45" s="5" t="s">
        <v>2381</v>
      </c>
      <c r="I45" s="5" t="s">
        <v>158</v>
      </c>
      <c r="J45" s="5" t="s">
        <v>311</v>
      </c>
      <c r="K45" s="5" t="s">
        <v>2382</v>
      </c>
      <c r="L45" s="5" t="s">
        <v>32</v>
      </c>
      <c r="M45" s="5" t="s">
        <v>265</v>
      </c>
      <c r="N45" s="5" t="s">
        <v>96</v>
      </c>
      <c r="O45" s="5"/>
      <c r="P45" s="5"/>
    </row>
    <row r="46" customFormat="false" ht="27.75" hidden="false" customHeight="true" outlineLevel="0" collapsed="false">
      <c r="A46" s="5" t="s">
        <v>2383</v>
      </c>
      <c r="B46" s="5" t="s">
        <v>231</v>
      </c>
      <c r="C46" s="5" t="s">
        <v>169</v>
      </c>
      <c r="D46" s="5" t="s">
        <v>2384</v>
      </c>
      <c r="E46" s="5" t="s">
        <v>2385</v>
      </c>
      <c r="F46" s="5" t="s">
        <v>368</v>
      </c>
      <c r="G46" s="5" t="s">
        <v>2386</v>
      </c>
      <c r="H46" s="5" t="s">
        <v>2387</v>
      </c>
      <c r="I46" s="5" t="s">
        <v>157</v>
      </c>
      <c r="J46" s="5" t="s">
        <v>263</v>
      </c>
      <c r="K46" s="5" t="s">
        <v>2388</v>
      </c>
      <c r="L46" s="5" t="s">
        <v>32</v>
      </c>
      <c r="M46" s="5" t="s">
        <v>265</v>
      </c>
      <c r="N46" s="5" t="s">
        <v>96</v>
      </c>
      <c r="O46" s="5"/>
      <c r="P46" s="5"/>
    </row>
    <row r="47" customFormat="false" ht="15" hidden="false" customHeight="true" outlineLevel="0" collapsed="false">
      <c r="A47" s="5" t="s">
        <v>2389</v>
      </c>
      <c r="B47" s="5" t="s">
        <v>231</v>
      </c>
      <c r="C47" s="5" t="s">
        <v>169</v>
      </c>
      <c r="D47" s="5" t="s">
        <v>2390</v>
      </c>
      <c r="E47" s="5" t="s">
        <v>2391</v>
      </c>
      <c r="F47" s="5" t="s">
        <v>368</v>
      </c>
      <c r="G47" s="5" t="s">
        <v>2392</v>
      </c>
      <c r="H47" s="5" t="s">
        <v>2393</v>
      </c>
      <c r="I47" s="5" t="s">
        <v>158</v>
      </c>
      <c r="J47" s="5" t="s">
        <v>263</v>
      </c>
      <c r="K47" s="5" t="s">
        <v>2394</v>
      </c>
      <c r="L47" s="5" t="s">
        <v>32</v>
      </c>
      <c r="M47" s="5" t="s">
        <v>265</v>
      </c>
      <c r="N47" s="5" t="s">
        <v>96</v>
      </c>
      <c r="O47" s="5"/>
      <c r="P47" s="5"/>
    </row>
    <row r="48" customFormat="false" ht="27.75" hidden="false" customHeight="true" outlineLevel="0" collapsed="false">
      <c r="A48" s="5" t="s">
        <v>2395</v>
      </c>
      <c r="B48" s="5" t="s">
        <v>231</v>
      </c>
      <c r="C48" s="5" t="s">
        <v>169</v>
      </c>
      <c r="D48" s="5" t="s">
        <v>2396</v>
      </c>
      <c r="E48" s="5" t="s">
        <v>2397</v>
      </c>
      <c r="F48" s="5" t="s">
        <v>368</v>
      </c>
      <c r="G48" s="5" t="s">
        <v>2398</v>
      </c>
      <c r="H48" s="5" t="s">
        <v>2399</v>
      </c>
      <c r="I48" s="5" t="s">
        <v>158</v>
      </c>
      <c r="J48" s="5" t="s">
        <v>263</v>
      </c>
      <c r="K48" s="5" t="s">
        <v>2400</v>
      </c>
      <c r="L48" s="5" t="s">
        <v>32</v>
      </c>
      <c r="M48" s="5" t="s">
        <v>265</v>
      </c>
      <c r="N48" s="5" t="s">
        <v>96</v>
      </c>
      <c r="O48" s="5"/>
      <c r="P48" s="5"/>
    </row>
    <row r="49" customFormat="false" ht="27.75" hidden="false" customHeight="true" outlineLevel="0" collapsed="false">
      <c r="A49" s="5" t="s">
        <v>2401</v>
      </c>
      <c r="B49" s="5" t="s">
        <v>232</v>
      </c>
      <c r="C49" s="5" t="s">
        <v>169</v>
      </c>
      <c r="D49" s="5" t="s">
        <v>2402</v>
      </c>
      <c r="E49" s="5" t="s">
        <v>2403</v>
      </c>
      <c r="F49" s="5" t="s">
        <v>368</v>
      </c>
      <c r="G49" s="5" t="s">
        <v>2404</v>
      </c>
      <c r="H49" s="5" t="s">
        <v>2405</v>
      </c>
      <c r="I49" s="5" t="s">
        <v>158</v>
      </c>
      <c r="J49" s="5" t="s">
        <v>263</v>
      </c>
      <c r="K49" s="5" t="s">
        <v>2406</v>
      </c>
      <c r="L49" s="5" t="s">
        <v>32</v>
      </c>
      <c r="M49" s="5" t="s">
        <v>265</v>
      </c>
      <c r="N49" s="5" t="s">
        <v>96</v>
      </c>
      <c r="O49" s="5"/>
      <c r="P49" s="5"/>
    </row>
    <row r="50" customFormat="false" ht="27.75" hidden="false" customHeight="true" outlineLevel="0" collapsed="false">
      <c r="A50" s="5" t="s">
        <v>2407</v>
      </c>
      <c r="B50" s="5" t="s">
        <v>232</v>
      </c>
      <c r="C50" s="5" t="s">
        <v>169</v>
      </c>
      <c r="D50" s="5" t="s">
        <v>2408</v>
      </c>
      <c r="E50" s="5" t="s">
        <v>2409</v>
      </c>
      <c r="F50" s="5" t="s">
        <v>368</v>
      </c>
      <c r="G50" s="5" t="s">
        <v>2410</v>
      </c>
      <c r="H50" s="5" t="s">
        <v>2411</v>
      </c>
      <c r="I50" s="5" t="s">
        <v>157</v>
      </c>
      <c r="J50" s="5" t="s">
        <v>263</v>
      </c>
      <c r="K50" s="5" t="s">
        <v>2412</v>
      </c>
      <c r="L50" s="5" t="s">
        <v>32</v>
      </c>
      <c r="M50" s="5" t="s">
        <v>265</v>
      </c>
      <c r="N50" s="5" t="s">
        <v>28</v>
      </c>
      <c r="O50" s="5"/>
      <c r="P50" s="5"/>
    </row>
    <row r="51" customFormat="false" ht="41.25" hidden="false" customHeight="true" outlineLevel="0" collapsed="false">
      <c r="A51" s="5" t="s">
        <v>2413</v>
      </c>
      <c r="B51" s="5" t="s">
        <v>232</v>
      </c>
      <c r="C51" s="5" t="s">
        <v>169</v>
      </c>
      <c r="D51" s="5" t="s">
        <v>2414</v>
      </c>
      <c r="E51" s="5" t="s">
        <v>2415</v>
      </c>
      <c r="F51" s="5" t="s">
        <v>2416</v>
      </c>
      <c r="G51" s="5" t="s">
        <v>2417</v>
      </c>
      <c r="H51" s="5" t="s">
        <v>2418</v>
      </c>
      <c r="I51" s="5" t="s">
        <v>157</v>
      </c>
      <c r="J51" s="5" t="s">
        <v>263</v>
      </c>
      <c r="K51" s="5" t="s">
        <v>2419</v>
      </c>
      <c r="L51" s="5" t="s">
        <v>32</v>
      </c>
      <c r="M51" s="5" t="s">
        <v>265</v>
      </c>
      <c r="N51" s="5" t="s">
        <v>28</v>
      </c>
      <c r="O51" s="5"/>
      <c r="P51" s="5"/>
    </row>
    <row r="52" customFormat="false" ht="15" hidden="false" customHeight="true" outlineLevel="0" collapsed="false">
      <c r="A52" s="5" t="s">
        <v>2420</v>
      </c>
      <c r="B52" s="5" t="s">
        <v>232</v>
      </c>
      <c r="C52" s="5" t="s">
        <v>169</v>
      </c>
      <c r="D52" s="5" t="s">
        <v>2158</v>
      </c>
      <c r="E52" s="5" t="s">
        <v>2415</v>
      </c>
      <c r="F52" s="5" t="s">
        <v>2159</v>
      </c>
      <c r="G52" s="5" t="s">
        <v>2160</v>
      </c>
      <c r="H52" s="5" t="s">
        <v>2161</v>
      </c>
      <c r="I52" s="5" t="s">
        <v>157</v>
      </c>
      <c r="J52" s="5" t="s">
        <v>286</v>
      </c>
      <c r="K52" s="5" t="s">
        <v>2421</v>
      </c>
      <c r="L52" s="5" t="s">
        <v>32</v>
      </c>
      <c r="M52" s="5" t="s">
        <v>265</v>
      </c>
      <c r="N52" s="5" t="s">
        <v>28</v>
      </c>
      <c r="O52" s="5" t="s">
        <v>2422</v>
      </c>
      <c r="P52" s="5"/>
    </row>
    <row r="53" customFormat="false" ht="27.75" hidden="false" customHeight="true" outlineLevel="0" collapsed="false">
      <c r="A53" s="5" t="s">
        <v>2423</v>
      </c>
      <c r="B53" s="5" t="s">
        <v>232</v>
      </c>
      <c r="C53" s="5" t="s">
        <v>169</v>
      </c>
      <c r="D53" s="5" t="s">
        <v>2424</v>
      </c>
      <c r="E53" s="5" t="s">
        <v>2425</v>
      </c>
      <c r="F53" s="5" t="s">
        <v>2426</v>
      </c>
      <c r="G53" s="5" t="s">
        <v>2427</v>
      </c>
      <c r="H53" s="5" t="s">
        <v>2428</v>
      </c>
      <c r="I53" s="5" t="s">
        <v>158</v>
      </c>
      <c r="J53" s="5" t="s">
        <v>263</v>
      </c>
      <c r="K53" s="5" t="s">
        <v>2429</v>
      </c>
      <c r="L53" s="5" t="s">
        <v>32</v>
      </c>
      <c r="M53" s="5" t="s">
        <v>265</v>
      </c>
      <c r="N53" s="5" t="s">
        <v>96</v>
      </c>
      <c r="O53" s="5"/>
      <c r="P53" s="5"/>
    </row>
    <row r="54" customFormat="false" ht="27.75" hidden="false" customHeight="true" outlineLevel="0" collapsed="false">
      <c r="A54" s="5" t="s">
        <v>2430</v>
      </c>
      <c r="B54" s="5" t="s">
        <v>232</v>
      </c>
      <c r="C54" s="5" t="s">
        <v>169</v>
      </c>
      <c r="D54" s="5" t="s">
        <v>2431</v>
      </c>
      <c r="E54" s="5" t="s">
        <v>2432</v>
      </c>
      <c r="F54" s="5" t="s">
        <v>368</v>
      </c>
      <c r="G54" s="5" t="s">
        <v>2433</v>
      </c>
      <c r="H54" s="5" t="s">
        <v>2434</v>
      </c>
      <c r="I54" s="5" t="s">
        <v>158</v>
      </c>
      <c r="J54" s="5" t="s">
        <v>253</v>
      </c>
      <c r="K54" s="5" t="s">
        <v>2435</v>
      </c>
      <c r="L54" s="5" t="s">
        <v>32</v>
      </c>
      <c r="M54" s="5" t="s">
        <v>265</v>
      </c>
      <c r="N54" s="5" t="s">
        <v>96</v>
      </c>
      <c r="O54" s="5"/>
      <c r="P54" s="5"/>
    </row>
    <row r="55" customFormat="false" ht="15" hidden="false" customHeight="true" outlineLevel="0" collapsed="false">
      <c r="A55" s="5" t="s">
        <v>2436</v>
      </c>
      <c r="B55" s="5" t="s">
        <v>232</v>
      </c>
      <c r="C55" s="5" t="s">
        <v>169</v>
      </c>
      <c r="D55" s="5" t="s">
        <v>2437</v>
      </c>
      <c r="E55" s="5" t="s">
        <v>2438</v>
      </c>
      <c r="F55" s="5" t="s">
        <v>368</v>
      </c>
      <c r="G55" s="5" t="s">
        <v>2386</v>
      </c>
      <c r="H55" s="5" t="s">
        <v>2439</v>
      </c>
      <c r="I55" s="5" t="s">
        <v>158</v>
      </c>
      <c r="J55" s="5" t="s">
        <v>263</v>
      </c>
      <c r="K55" s="5" t="s">
        <v>2440</v>
      </c>
      <c r="L55" s="5" t="s">
        <v>32</v>
      </c>
      <c r="M55" s="5" t="s">
        <v>265</v>
      </c>
      <c r="N55" s="5" t="s">
        <v>96</v>
      </c>
      <c r="O55" s="5"/>
      <c r="P55" s="5"/>
    </row>
    <row r="56" customFormat="false" ht="27.75" hidden="false" customHeight="true" outlineLevel="0" collapsed="false">
      <c r="A56" s="5" t="s">
        <v>2441</v>
      </c>
      <c r="B56" s="5" t="s">
        <v>233</v>
      </c>
      <c r="C56" s="5" t="s">
        <v>169</v>
      </c>
      <c r="D56" s="5" t="s">
        <v>2442</v>
      </c>
      <c r="E56" s="5" t="s">
        <v>2443</v>
      </c>
      <c r="F56" s="5" t="s">
        <v>2444</v>
      </c>
      <c r="G56" s="5" t="s">
        <v>2445</v>
      </c>
      <c r="H56" s="5" t="s">
        <v>2446</v>
      </c>
      <c r="I56" s="5" t="s">
        <v>158</v>
      </c>
      <c r="J56" s="5" t="s">
        <v>263</v>
      </c>
      <c r="K56" s="5" t="s">
        <v>2447</v>
      </c>
      <c r="L56" s="5" t="s">
        <v>32</v>
      </c>
      <c r="M56" s="5" t="s">
        <v>265</v>
      </c>
      <c r="N56" s="5" t="s">
        <v>96</v>
      </c>
      <c r="O56" s="5"/>
      <c r="P56" s="5"/>
    </row>
    <row r="57" customFormat="false" ht="41.25" hidden="false" customHeight="true" outlineLevel="0" collapsed="false">
      <c r="A57" s="5" t="s">
        <v>2448</v>
      </c>
      <c r="B57" s="5" t="s">
        <v>233</v>
      </c>
      <c r="C57" s="5" t="s">
        <v>169</v>
      </c>
      <c r="D57" s="5" t="s">
        <v>2449</v>
      </c>
      <c r="E57" s="5" t="s">
        <v>2450</v>
      </c>
      <c r="F57" s="5" t="s">
        <v>368</v>
      </c>
      <c r="G57" s="5" t="s">
        <v>2451</v>
      </c>
      <c r="H57" s="5" t="s">
        <v>2452</v>
      </c>
      <c r="I57" s="5" t="s">
        <v>157</v>
      </c>
      <c r="J57" s="5" t="s">
        <v>263</v>
      </c>
      <c r="K57" s="5" t="s">
        <v>2453</v>
      </c>
      <c r="L57" s="5" t="s">
        <v>32</v>
      </c>
      <c r="M57" s="5" t="s">
        <v>265</v>
      </c>
      <c r="N57" s="5" t="s">
        <v>28</v>
      </c>
      <c r="O57" s="5"/>
      <c r="P57" s="5"/>
    </row>
    <row r="58" customFormat="false" ht="27.75" hidden="false" customHeight="true" outlineLevel="0" collapsed="false">
      <c r="A58" s="5" t="s">
        <v>2454</v>
      </c>
      <c r="B58" s="5" t="s">
        <v>233</v>
      </c>
      <c r="C58" s="5" t="s">
        <v>169</v>
      </c>
      <c r="D58" s="5" t="s">
        <v>2455</v>
      </c>
      <c r="E58" s="5" t="s">
        <v>2456</v>
      </c>
      <c r="F58" s="5" t="s">
        <v>368</v>
      </c>
      <c r="G58" s="5" t="s">
        <v>2457</v>
      </c>
      <c r="H58" s="5" t="s">
        <v>2458</v>
      </c>
      <c r="I58" s="5" t="s">
        <v>157</v>
      </c>
      <c r="J58" s="5" t="s">
        <v>253</v>
      </c>
      <c r="K58" s="5" t="s">
        <v>2459</v>
      </c>
      <c r="L58" s="5" t="s">
        <v>32</v>
      </c>
      <c r="M58" s="5" t="s">
        <v>265</v>
      </c>
      <c r="N58" s="5" t="s">
        <v>28</v>
      </c>
      <c r="O58" s="5"/>
      <c r="P58" s="5"/>
    </row>
    <row r="59" customFormat="false" ht="41.25" hidden="false" customHeight="true" outlineLevel="0" collapsed="false">
      <c r="A59" s="5" t="s">
        <v>2460</v>
      </c>
      <c r="B59" s="5" t="s">
        <v>233</v>
      </c>
      <c r="C59" s="5" t="s">
        <v>169</v>
      </c>
      <c r="D59" s="5" t="s">
        <v>2461</v>
      </c>
      <c r="E59" s="5" t="s">
        <v>2462</v>
      </c>
      <c r="F59" s="5" t="s">
        <v>2463</v>
      </c>
      <c r="G59" s="5" t="s">
        <v>2464</v>
      </c>
      <c r="H59" s="5" t="s">
        <v>2465</v>
      </c>
      <c r="I59" s="5" t="s">
        <v>158</v>
      </c>
      <c r="J59" s="5" t="s">
        <v>263</v>
      </c>
      <c r="K59" s="5" t="s">
        <v>2466</v>
      </c>
      <c r="L59" s="5" t="s">
        <v>32</v>
      </c>
      <c r="M59" s="5" t="s">
        <v>265</v>
      </c>
      <c r="N59" s="5" t="s">
        <v>96</v>
      </c>
      <c r="O59" s="5"/>
      <c r="P59" s="5"/>
    </row>
    <row r="60" customFormat="false" ht="15" hidden="false" customHeight="true" outlineLevel="0" collapsed="false">
      <c r="A60" s="5" t="s">
        <v>2467</v>
      </c>
      <c r="B60" s="5" t="s">
        <v>233</v>
      </c>
      <c r="C60" s="5" t="s">
        <v>169</v>
      </c>
      <c r="D60" s="5" t="s">
        <v>2468</v>
      </c>
      <c r="E60" s="5" t="s">
        <v>2469</v>
      </c>
      <c r="F60" s="5" t="s">
        <v>368</v>
      </c>
      <c r="G60" s="5" t="s">
        <v>2470</v>
      </c>
      <c r="H60" s="5" t="s">
        <v>2471</v>
      </c>
      <c r="I60" s="5" t="s">
        <v>158</v>
      </c>
      <c r="J60" s="5" t="s">
        <v>263</v>
      </c>
      <c r="K60" s="5" t="s">
        <v>2472</v>
      </c>
      <c r="L60" s="5" t="s">
        <v>32</v>
      </c>
      <c r="M60" s="5" t="s">
        <v>265</v>
      </c>
      <c r="N60" s="5" t="s">
        <v>96</v>
      </c>
      <c r="O60" s="5"/>
      <c r="P60" s="5"/>
    </row>
    <row r="61" customFormat="false" ht="41.25" hidden="false" customHeight="true" outlineLevel="0" collapsed="false">
      <c r="A61" s="5" t="s">
        <v>2473</v>
      </c>
      <c r="B61" s="5" t="s">
        <v>233</v>
      </c>
      <c r="C61" s="5" t="s">
        <v>169</v>
      </c>
      <c r="D61" s="5" t="s">
        <v>2474</v>
      </c>
      <c r="E61" s="5" t="s">
        <v>2475</v>
      </c>
      <c r="F61" s="5" t="s">
        <v>2476</v>
      </c>
      <c r="G61" s="5" t="s">
        <v>2477</v>
      </c>
      <c r="H61" s="5" t="s">
        <v>2478</v>
      </c>
      <c r="I61" s="5" t="s">
        <v>158</v>
      </c>
      <c r="J61" s="5" t="s">
        <v>263</v>
      </c>
      <c r="K61" s="5" t="s">
        <v>2479</v>
      </c>
      <c r="L61" s="5" t="s">
        <v>32</v>
      </c>
      <c r="M61" s="5" t="s">
        <v>265</v>
      </c>
      <c r="N61" s="5" t="s">
        <v>96</v>
      </c>
      <c r="O61" s="5"/>
      <c r="P61" s="5"/>
    </row>
    <row r="62" customFormat="false" ht="27.75" hidden="false" customHeight="true" outlineLevel="0" collapsed="false">
      <c r="A62" s="5" t="s">
        <v>2480</v>
      </c>
      <c r="B62" s="5" t="s">
        <v>233</v>
      </c>
      <c r="C62" s="5" t="s">
        <v>169</v>
      </c>
      <c r="D62" s="5" t="s">
        <v>2481</v>
      </c>
      <c r="E62" s="5" t="s">
        <v>2482</v>
      </c>
      <c r="F62" s="5" t="s">
        <v>368</v>
      </c>
      <c r="G62" s="5" t="s">
        <v>2483</v>
      </c>
      <c r="H62" s="5" t="s">
        <v>2484</v>
      </c>
      <c r="I62" s="5" t="s">
        <v>158</v>
      </c>
      <c r="J62" s="5" t="s">
        <v>263</v>
      </c>
      <c r="K62" s="5" t="s">
        <v>2485</v>
      </c>
      <c r="L62" s="5" t="s">
        <v>32</v>
      </c>
      <c r="M62" s="5" t="s">
        <v>265</v>
      </c>
      <c r="N62" s="5" t="s">
        <v>96</v>
      </c>
      <c r="O62" s="5"/>
      <c r="P62" s="5"/>
    </row>
    <row r="63" customFormat="false" ht="27.75" hidden="false" customHeight="true" outlineLevel="0" collapsed="false">
      <c r="A63" s="5" t="s">
        <v>2486</v>
      </c>
      <c r="B63" s="5" t="s">
        <v>233</v>
      </c>
      <c r="C63" s="5" t="s">
        <v>169</v>
      </c>
      <c r="D63" s="5" t="s">
        <v>2487</v>
      </c>
      <c r="E63" s="5" t="s">
        <v>2488</v>
      </c>
      <c r="F63" s="5" t="s">
        <v>368</v>
      </c>
      <c r="G63" s="5" t="s">
        <v>2489</v>
      </c>
      <c r="H63" s="5" t="s">
        <v>2490</v>
      </c>
      <c r="I63" s="5" t="s">
        <v>158</v>
      </c>
      <c r="J63" s="5" t="s">
        <v>263</v>
      </c>
      <c r="K63" s="5" t="s">
        <v>2491</v>
      </c>
      <c r="L63" s="5" t="s">
        <v>32</v>
      </c>
      <c r="M63" s="5" t="s">
        <v>265</v>
      </c>
      <c r="N63" s="5" t="s">
        <v>96</v>
      </c>
      <c r="O63" s="5"/>
      <c r="P63" s="5"/>
    </row>
    <row r="64" customFormat="false" ht="27.75" hidden="false" customHeight="true" outlineLevel="0" collapsed="false">
      <c r="A64" s="5" t="s">
        <v>2492</v>
      </c>
      <c r="B64" s="5" t="s">
        <v>233</v>
      </c>
      <c r="C64" s="5" t="s">
        <v>169</v>
      </c>
      <c r="D64" s="5" t="s">
        <v>2493</v>
      </c>
      <c r="E64" s="5" t="s">
        <v>2123</v>
      </c>
      <c r="F64" s="5" t="s">
        <v>2494</v>
      </c>
      <c r="G64" s="5" t="s">
        <v>2495</v>
      </c>
      <c r="H64" s="5" t="s">
        <v>2496</v>
      </c>
      <c r="I64" s="5" t="s">
        <v>158</v>
      </c>
      <c r="J64" s="5" t="s">
        <v>263</v>
      </c>
      <c r="K64" s="5" t="s">
        <v>2497</v>
      </c>
      <c r="L64" s="5" t="s">
        <v>32</v>
      </c>
      <c r="M64" s="5" t="s">
        <v>265</v>
      </c>
      <c r="N64" s="5" t="s">
        <v>96</v>
      </c>
      <c r="O64" s="5"/>
      <c r="P64" s="5"/>
    </row>
    <row r="65" customFormat="false" ht="15" hidden="false" customHeight="true" outlineLevel="0" collapsed="false">
      <c r="A65" s="5" t="s">
        <v>2498</v>
      </c>
      <c r="B65" s="5" t="s">
        <v>233</v>
      </c>
      <c r="C65" s="5" t="s">
        <v>169</v>
      </c>
      <c r="D65" s="5" t="s">
        <v>2499</v>
      </c>
      <c r="E65" s="5" t="s">
        <v>2500</v>
      </c>
      <c r="F65" s="5" t="s">
        <v>368</v>
      </c>
      <c r="G65" s="5" t="s">
        <v>2386</v>
      </c>
      <c r="H65" s="5" t="s">
        <v>2501</v>
      </c>
      <c r="I65" s="5" t="s">
        <v>158</v>
      </c>
      <c r="J65" s="5" t="s">
        <v>263</v>
      </c>
      <c r="K65" s="5" t="s">
        <v>2502</v>
      </c>
      <c r="L65" s="5" t="s">
        <v>32</v>
      </c>
      <c r="M65" s="5" t="s">
        <v>265</v>
      </c>
      <c r="N65" s="5" t="s">
        <v>96</v>
      </c>
      <c r="O65" s="5"/>
      <c r="P65" s="5"/>
    </row>
    <row r="66" customFormat="false" ht="41.25" hidden="false" customHeight="true" outlineLevel="0" collapsed="false">
      <c r="A66" s="5" t="s">
        <v>2503</v>
      </c>
      <c r="B66" s="5" t="s">
        <v>234</v>
      </c>
      <c r="C66" s="5" t="s">
        <v>169</v>
      </c>
      <c r="D66" s="5" t="s">
        <v>2504</v>
      </c>
      <c r="E66" s="5" t="s">
        <v>2505</v>
      </c>
      <c r="F66" s="5" t="s">
        <v>368</v>
      </c>
      <c r="G66" s="5" t="s">
        <v>2506</v>
      </c>
      <c r="H66" s="5" t="s">
        <v>2507</v>
      </c>
      <c r="I66" s="5" t="s">
        <v>157</v>
      </c>
      <c r="J66" s="5" t="s">
        <v>263</v>
      </c>
      <c r="K66" s="5" t="s">
        <v>2508</v>
      </c>
      <c r="L66" s="5" t="s">
        <v>32</v>
      </c>
      <c r="M66" s="5" t="s">
        <v>265</v>
      </c>
      <c r="N66" s="5" t="s">
        <v>28</v>
      </c>
      <c r="O66" s="5"/>
      <c r="P66" s="5"/>
    </row>
    <row r="67" customFormat="false" ht="27.75" hidden="false" customHeight="true" outlineLevel="0" collapsed="false">
      <c r="A67" s="5" t="s">
        <v>2509</v>
      </c>
      <c r="B67" s="5" t="s">
        <v>234</v>
      </c>
      <c r="C67" s="5" t="s">
        <v>169</v>
      </c>
      <c r="D67" s="5" t="s">
        <v>2510</v>
      </c>
      <c r="E67" s="5" t="s">
        <v>2511</v>
      </c>
      <c r="F67" s="5" t="s">
        <v>2512</v>
      </c>
      <c r="G67" s="5" t="s">
        <v>2513</v>
      </c>
      <c r="H67" s="5" t="s">
        <v>2514</v>
      </c>
      <c r="I67" s="5" t="s">
        <v>157</v>
      </c>
      <c r="J67" s="5" t="s">
        <v>263</v>
      </c>
      <c r="K67" s="5" t="s">
        <v>2515</v>
      </c>
      <c r="L67" s="5" t="s">
        <v>32</v>
      </c>
      <c r="M67" s="5" t="s">
        <v>265</v>
      </c>
      <c r="N67" s="5" t="s">
        <v>28</v>
      </c>
      <c r="O67" s="5"/>
      <c r="P67" s="5"/>
    </row>
    <row r="68" customFormat="false" ht="41.25" hidden="false" customHeight="true" outlineLevel="0" collapsed="false">
      <c r="A68" s="5" t="s">
        <v>2516</v>
      </c>
      <c r="B68" s="5" t="s">
        <v>234</v>
      </c>
      <c r="C68" s="5" t="s">
        <v>169</v>
      </c>
      <c r="D68" s="5" t="s">
        <v>2517</v>
      </c>
      <c r="E68" s="5" t="s">
        <v>2518</v>
      </c>
      <c r="F68" s="5" t="s">
        <v>368</v>
      </c>
      <c r="G68" s="5" t="s">
        <v>2519</v>
      </c>
      <c r="H68" s="5" t="s">
        <v>2520</v>
      </c>
      <c r="I68" s="5" t="s">
        <v>158</v>
      </c>
      <c r="J68" s="5" t="s">
        <v>263</v>
      </c>
      <c r="K68" s="5" t="s">
        <v>2521</v>
      </c>
      <c r="L68" s="5" t="s">
        <v>32</v>
      </c>
      <c r="M68" s="5" t="s">
        <v>265</v>
      </c>
      <c r="N68" s="5" t="s">
        <v>96</v>
      </c>
      <c r="O68" s="5"/>
      <c r="P68" s="5"/>
    </row>
    <row r="69" customFormat="false" ht="15" hidden="false" customHeight="true" outlineLevel="0" collapsed="false">
      <c r="A69" s="5" t="s">
        <v>2522</v>
      </c>
      <c r="B69" s="5" t="s">
        <v>234</v>
      </c>
      <c r="C69" s="5" t="s">
        <v>169</v>
      </c>
      <c r="D69" s="5" t="s">
        <v>2523</v>
      </c>
      <c r="E69" s="5" t="s">
        <v>2524</v>
      </c>
      <c r="F69" s="5" t="s">
        <v>368</v>
      </c>
      <c r="G69" s="5" t="s">
        <v>2525</v>
      </c>
      <c r="H69" s="5" t="s">
        <v>2526</v>
      </c>
      <c r="I69" s="5" t="s">
        <v>158</v>
      </c>
      <c r="J69" s="5" t="s">
        <v>263</v>
      </c>
      <c r="K69" s="5" t="s">
        <v>2527</v>
      </c>
      <c r="L69" s="5" t="s">
        <v>32</v>
      </c>
      <c r="M69" s="5" t="s">
        <v>265</v>
      </c>
      <c r="N69" s="5" t="s">
        <v>96</v>
      </c>
      <c r="O69" s="5"/>
      <c r="P69" s="5"/>
    </row>
    <row r="70" customFormat="false" ht="27.75" hidden="false" customHeight="true" outlineLevel="0" collapsed="false">
      <c r="A70" s="5" t="s">
        <v>2528</v>
      </c>
      <c r="B70" s="5" t="s">
        <v>234</v>
      </c>
      <c r="C70" s="5" t="s">
        <v>169</v>
      </c>
      <c r="D70" s="5" t="s">
        <v>2529</v>
      </c>
      <c r="E70" s="5" t="s">
        <v>2530</v>
      </c>
      <c r="F70" s="5" t="s">
        <v>368</v>
      </c>
      <c r="G70" s="5" t="s">
        <v>2531</v>
      </c>
      <c r="H70" s="5" t="s">
        <v>2532</v>
      </c>
      <c r="I70" s="5" t="s">
        <v>158</v>
      </c>
      <c r="J70" s="5" t="s">
        <v>253</v>
      </c>
      <c r="K70" s="5" t="s">
        <v>2533</v>
      </c>
      <c r="L70" s="5" t="s">
        <v>32</v>
      </c>
      <c r="M70" s="5" t="s">
        <v>265</v>
      </c>
      <c r="N70" s="5" t="s">
        <v>96</v>
      </c>
      <c r="O70" s="5"/>
      <c r="P70" s="5"/>
    </row>
    <row r="71" customFormat="false" ht="54.75" hidden="false" customHeight="true" outlineLevel="0" collapsed="false">
      <c r="A71" s="5" t="s">
        <v>2534</v>
      </c>
      <c r="B71" s="5" t="s">
        <v>234</v>
      </c>
      <c r="C71" s="5" t="s">
        <v>169</v>
      </c>
      <c r="D71" s="5" t="s">
        <v>2535</v>
      </c>
      <c r="E71" s="5" t="s">
        <v>2123</v>
      </c>
      <c r="F71" s="5" t="s">
        <v>2536</v>
      </c>
      <c r="G71" s="5" t="s">
        <v>2537</v>
      </c>
      <c r="H71" s="5" t="s">
        <v>2538</v>
      </c>
      <c r="I71" s="5" t="s">
        <v>157</v>
      </c>
      <c r="J71" s="5" t="s">
        <v>263</v>
      </c>
      <c r="K71" s="5" t="s">
        <v>2539</v>
      </c>
      <c r="L71" s="5" t="s">
        <v>32</v>
      </c>
      <c r="M71" s="5" t="s">
        <v>265</v>
      </c>
      <c r="N71" s="5" t="s">
        <v>28</v>
      </c>
      <c r="O71" s="5"/>
      <c r="P71" s="5"/>
    </row>
    <row r="72" customFormat="false" ht="54.75" hidden="false" customHeight="true" outlineLevel="0" collapsed="false">
      <c r="A72" s="5" t="s">
        <v>2540</v>
      </c>
      <c r="B72" s="5" t="s">
        <v>234</v>
      </c>
      <c r="C72" s="5" t="s">
        <v>169</v>
      </c>
      <c r="D72" s="5" t="s">
        <v>2541</v>
      </c>
      <c r="E72" s="5" t="s">
        <v>2135</v>
      </c>
      <c r="F72" s="5" t="s">
        <v>368</v>
      </c>
      <c r="G72" s="5" t="s">
        <v>2542</v>
      </c>
      <c r="H72" s="5" t="s">
        <v>2543</v>
      </c>
      <c r="I72" s="5" t="s">
        <v>156</v>
      </c>
      <c r="J72" s="5" t="s">
        <v>278</v>
      </c>
      <c r="K72" s="5" t="s">
        <v>2544</v>
      </c>
      <c r="L72" s="5" t="s">
        <v>32</v>
      </c>
      <c r="M72" s="5" t="s">
        <v>265</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245</v>
      </c>
      <c r="B1" s="13" t="s">
        <v>175</v>
      </c>
      <c r="C1" s="13" t="s">
        <v>154</v>
      </c>
      <c r="D1" s="13" t="s">
        <v>246</v>
      </c>
      <c r="E1" s="13" t="s">
        <v>247</v>
      </c>
      <c r="F1" s="13" t="s">
        <v>248</v>
      </c>
      <c r="G1" s="13" t="s">
        <v>249</v>
      </c>
      <c r="H1" s="13" t="s">
        <v>250</v>
      </c>
      <c r="I1" s="13" t="s">
        <v>177</v>
      </c>
      <c r="J1" s="13" t="s">
        <v>251</v>
      </c>
      <c r="K1" s="13" t="s">
        <v>252</v>
      </c>
      <c r="L1" s="13" t="s">
        <v>253</v>
      </c>
      <c r="M1" s="13" t="s">
        <v>254</v>
      </c>
      <c r="N1" s="13" t="s">
        <v>255</v>
      </c>
      <c r="O1" s="13" t="s">
        <v>256</v>
      </c>
      <c r="P1" s="13" t="s">
        <v>27</v>
      </c>
    </row>
    <row r="2" customFormat="false" ht="27.75" hidden="false" customHeight="true" outlineLevel="0" collapsed="false">
      <c r="A2" s="5" t="s">
        <v>2545</v>
      </c>
      <c r="B2" s="5" t="s">
        <v>235</v>
      </c>
      <c r="C2" s="5" t="s">
        <v>170</v>
      </c>
      <c r="D2" s="5" t="s">
        <v>2546</v>
      </c>
      <c r="E2" s="5" t="s">
        <v>1261</v>
      </c>
      <c r="F2" s="5" t="s">
        <v>368</v>
      </c>
      <c r="G2" s="5" t="s">
        <v>2547</v>
      </c>
      <c r="H2" s="5" t="s">
        <v>2548</v>
      </c>
      <c r="I2" s="5" t="s">
        <v>157</v>
      </c>
      <c r="J2" s="5" t="s">
        <v>263</v>
      </c>
      <c r="K2" s="5" t="s">
        <v>2549</v>
      </c>
      <c r="L2" s="5" t="s">
        <v>32</v>
      </c>
      <c r="M2" s="5" t="s">
        <v>265</v>
      </c>
      <c r="N2" s="5" t="s">
        <v>28</v>
      </c>
      <c r="O2" s="5"/>
      <c r="P2" s="5"/>
    </row>
    <row r="3" customFormat="false" ht="27.75" hidden="false" customHeight="true" outlineLevel="0" collapsed="false">
      <c r="A3" s="5" t="s">
        <v>2550</v>
      </c>
      <c r="B3" s="5" t="s">
        <v>235</v>
      </c>
      <c r="C3" s="5" t="s">
        <v>170</v>
      </c>
      <c r="D3" s="5" t="s">
        <v>2551</v>
      </c>
      <c r="E3" s="5" t="s">
        <v>2552</v>
      </c>
      <c r="F3" s="5" t="s">
        <v>2553</v>
      </c>
      <c r="G3" s="5" t="s">
        <v>2554</v>
      </c>
      <c r="H3" s="5" t="s">
        <v>2555</v>
      </c>
      <c r="I3" s="5" t="s">
        <v>157</v>
      </c>
      <c r="J3" s="5" t="s">
        <v>263</v>
      </c>
      <c r="K3" s="5" t="s">
        <v>2556</v>
      </c>
      <c r="L3" s="5" t="s">
        <v>32</v>
      </c>
      <c r="M3" s="5" t="s">
        <v>265</v>
      </c>
      <c r="N3" s="5" t="s">
        <v>28</v>
      </c>
      <c r="O3" s="5"/>
      <c r="P3" s="5"/>
    </row>
    <row r="4" customFormat="false" ht="15" hidden="false" customHeight="true" outlineLevel="0" collapsed="false">
      <c r="A4" s="5" t="s">
        <v>2557</v>
      </c>
      <c r="B4" s="5" t="s">
        <v>235</v>
      </c>
      <c r="C4" s="5" t="s">
        <v>170</v>
      </c>
      <c r="D4" s="5" t="s">
        <v>2558</v>
      </c>
      <c r="E4" s="5" t="s">
        <v>1261</v>
      </c>
      <c r="F4" s="5" t="s">
        <v>368</v>
      </c>
      <c r="G4" s="5" t="s">
        <v>2559</v>
      </c>
      <c r="H4" s="5" t="s">
        <v>2560</v>
      </c>
      <c r="I4" s="5" t="s">
        <v>158</v>
      </c>
      <c r="J4" s="5" t="s">
        <v>278</v>
      </c>
      <c r="K4" s="5" t="s">
        <v>2561</v>
      </c>
      <c r="L4" s="5" t="s">
        <v>32</v>
      </c>
      <c r="M4" s="5" t="s">
        <v>265</v>
      </c>
      <c r="N4" s="5" t="s">
        <v>96</v>
      </c>
      <c r="O4" s="5"/>
      <c r="P4" s="5"/>
    </row>
    <row r="5" customFormat="false" ht="27.75" hidden="false" customHeight="true" outlineLevel="0" collapsed="false">
      <c r="A5" s="5" t="s">
        <v>2562</v>
      </c>
      <c r="B5" s="5" t="s">
        <v>235</v>
      </c>
      <c r="C5" s="5" t="s">
        <v>170</v>
      </c>
      <c r="D5" s="5" t="s">
        <v>2563</v>
      </c>
      <c r="E5" s="5" t="s">
        <v>2564</v>
      </c>
      <c r="F5" s="5" t="s">
        <v>2565</v>
      </c>
      <c r="G5" s="5" t="s">
        <v>2566</v>
      </c>
      <c r="H5" s="5" t="s">
        <v>2567</v>
      </c>
      <c r="I5" s="5" t="s">
        <v>157</v>
      </c>
      <c r="J5" s="5" t="s">
        <v>263</v>
      </c>
      <c r="K5" s="5" t="s">
        <v>2568</v>
      </c>
      <c r="L5" s="5" t="s">
        <v>32</v>
      </c>
      <c r="M5" s="5" t="s">
        <v>265</v>
      </c>
      <c r="N5" s="5" t="s">
        <v>28</v>
      </c>
      <c r="O5" s="5" t="s">
        <v>2569</v>
      </c>
      <c r="P5" s="5"/>
    </row>
    <row r="6" customFormat="false" ht="27.75" hidden="false" customHeight="true" outlineLevel="0" collapsed="false">
      <c r="A6" s="5" t="s">
        <v>2570</v>
      </c>
      <c r="B6" s="5" t="s">
        <v>235</v>
      </c>
      <c r="C6" s="5" t="s">
        <v>170</v>
      </c>
      <c r="D6" s="5" t="s">
        <v>2571</v>
      </c>
      <c r="E6" s="5" t="s">
        <v>479</v>
      </c>
      <c r="F6" s="5" t="s">
        <v>2572</v>
      </c>
      <c r="G6" s="5" t="s">
        <v>2573</v>
      </c>
      <c r="H6" s="5" t="s">
        <v>2574</v>
      </c>
      <c r="I6" s="5" t="s">
        <v>158</v>
      </c>
      <c r="J6" s="5" t="s">
        <v>263</v>
      </c>
      <c r="K6" s="5" t="s">
        <v>2575</v>
      </c>
      <c r="L6" s="5" t="s">
        <v>32</v>
      </c>
      <c r="M6" s="5" t="s">
        <v>265</v>
      </c>
      <c r="N6" s="5" t="s">
        <v>96</v>
      </c>
      <c r="O6" s="5" t="s">
        <v>2576</v>
      </c>
      <c r="P6" s="5"/>
    </row>
    <row r="7" customFormat="false" ht="27.75" hidden="false" customHeight="true" outlineLevel="0" collapsed="false">
      <c r="A7" s="5" t="s">
        <v>2577</v>
      </c>
      <c r="B7" s="5" t="s">
        <v>235</v>
      </c>
      <c r="C7" s="5" t="s">
        <v>170</v>
      </c>
      <c r="D7" s="5" t="s">
        <v>2578</v>
      </c>
      <c r="E7" s="5" t="s">
        <v>2579</v>
      </c>
      <c r="F7" s="5" t="s">
        <v>368</v>
      </c>
      <c r="G7" s="5" t="s">
        <v>2580</v>
      </c>
      <c r="H7" s="5" t="s">
        <v>2581</v>
      </c>
      <c r="I7" s="5" t="s">
        <v>157</v>
      </c>
      <c r="J7" s="5" t="s">
        <v>263</v>
      </c>
      <c r="K7" s="5" t="s">
        <v>2582</v>
      </c>
      <c r="L7" s="5" t="s">
        <v>32</v>
      </c>
      <c r="M7" s="5" t="s">
        <v>265</v>
      </c>
      <c r="N7" s="5" t="s">
        <v>28</v>
      </c>
      <c r="O7" s="5"/>
      <c r="P7" s="5"/>
    </row>
    <row r="8" customFormat="false" ht="15" hidden="false" customHeight="true" outlineLevel="0" collapsed="false">
      <c r="A8" s="5" t="s">
        <v>2583</v>
      </c>
      <c r="B8" s="5" t="s">
        <v>235</v>
      </c>
      <c r="C8" s="5" t="s">
        <v>170</v>
      </c>
      <c r="D8" s="5" t="s">
        <v>2584</v>
      </c>
      <c r="E8" s="5" t="s">
        <v>2585</v>
      </c>
      <c r="F8" s="5" t="s">
        <v>368</v>
      </c>
      <c r="G8" s="5" t="s">
        <v>2586</v>
      </c>
      <c r="H8" s="5" t="s">
        <v>2587</v>
      </c>
      <c r="I8" s="5" t="s">
        <v>158</v>
      </c>
      <c r="J8" s="5" t="s">
        <v>286</v>
      </c>
      <c r="K8" s="5" t="s">
        <v>2588</v>
      </c>
      <c r="L8" s="5" t="s">
        <v>32</v>
      </c>
      <c r="M8" s="5" t="s">
        <v>265</v>
      </c>
      <c r="N8" s="5" t="s">
        <v>96</v>
      </c>
      <c r="O8" s="5"/>
      <c r="P8" s="5"/>
    </row>
    <row r="9" customFormat="false" ht="27.75" hidden="false" customHeight="true" outlineLevel="0" collapsed="false">
      <c r="A9" s="5" t="s">
        <v>2589</v>
      </c>
      <c r="B9" s="5" t="s">
        <v>235</v>
      </c>
      <c r="C9" s="5" t="s">
        <v>170</v>
      </c>
      <c r="D9" s="5" t="s">
        <v>2590</v>
      </c>
      <c r="E9" s="5" t="s">
        <v>479</v>
      </c>
      <c r="F9" s="5" t="s">
        <v>2591</v>
      </c>
      <c r="G9" s="5" t="s">
        <v>2592</v>
      </c>
      <c r="H9" s="5" t="s">
        <v>2593</v>
      </c>
      <c r="I9" s="5" t="s">
        <v>158</v>
      </c>
      <c r="J9" s="5" t="s">
        <v>263</v>
      </c>
      <c r="K9" s="5" t="s">
        <v>2594</v>
      </c>
      <c r="L9" s="5" t="s">
        <v>32</v>
      </c>
      <c r="M9" s="5" t="s">
        <v>265</v>
      </c>
      <c r="N9" s="5" t="s">
        <v>96</v>
      </c>
      <c r="O9" s="5"/>
      <c r="P9" s="5"/>
    </row>
    <row r="10" customFormat="false" ht="41.25" hidden="false" customHeight="true" outlineLevel="0" collapsed="false">
      <c r="A10" s="5" t="s">
        <v>2595</v>
      </c>
      <c r="B10" s="5" t="s">
        <v>235</v>
      </c>
      <c r="C10" s="5" t="s">
        <v>170</v>
      </c>
      <c r="D10" s="5" t="s">
        <v>2596</v>
      </c>
      <c r="E10" s="5" t="s">
        <v>855</v>
      </c>
      <c r="F10" s="5" t="s">
        <v>2597</v>
      </c>
      <c r="G10" s="5" t="s">
        <v>2598</v>
      </c>
      <c r="H10" s="5" t="s">
        <v>2599</v>
      </c>
      <c r="I10" s="5" t="s">
        <v>158</v>
      </c>
      <c r="J10" s="5" t="s">
        <v>263</v>
      </c>
      <c r="K10" s="5" t="s">
        <v>2600</v>
      </c>
      <c r="L10" s="5" t="s">
        <v>32</v>
      </c>
      <c r="M10" s="5" t="s">
        <v>265</v>
      </c>
      <c r="N10" s="5" t="s">
        <v>96</v>
      </c>
      <c r="O10" s="5"/>
      <c r="P10" s="5"/>
    </row>
    <row r="11" customFormat="false" ht="15" hidden="false" customHeight="true" outlineLevel="0" collapsed="false">
      <c r="A11" s="5" t="s">
        <v>2601</v>
      </c>
      <c r="B11" s="5" t="s">
        <v>235</v>
      </c>
      <c r="C11" s="5" t="s">
        <v>170</v>
      </c>
      <c r="D11" s="5" t="s">
        <v>1153</v>
      </c>
      <c r="E11" s="5" t="s">
        <v>479</v>
      </c>
      <c r="F11" s="5" t="s">
        <v>1154</v>
      </c>
      <c r="G11" s="5" t="s">
        <v>2602</v>
      </c>
      <c r="H11" s="5" t="s">
        <v>2603</v>
      </c>
      <c r="I11" s="5" t="s">
        <v>158</v>
      </c>
      <c r="J11" s="5" t="s">
        <v>311</v>
      </c>
      <c r="K11" s="5" t="s">
        <v>2604</v>
      </c>
      <c r="L11" s="5" t="s">
        <v>32</v>
      </c>
      <c r="M11" s="5" t="s">
        <v>265</v>
      </c>
      <c r="N11" s="5" t="s">
        <v>96</v>
      </c>
      <c r="O11" s="5"/>
      <c r="P11" s="5"/>
    </row>
    <row r="12" customFormat="false" ht="27.75" hidden="false" customHeight="true" outlineLevel="0" collapsed="false">
      <c r="A12" s="5" t="s">
        <v>2605</v>
      </c>
      <c r="B12" s="5" t="s">
        <v>235</v>
      </c>
      <c r="C12" s="5" t="s">
        <v>170</v>
      </c>
      <c r="D12" s="5" t="s">
        <v>1178</v>
      </c>
      <c r="E12" s="5" t="s">
        <v>479</v>
      </c>
      <c r="F12" s="5" t="s">
        <v>1483</v>
      </c>
      <c r="G12" s="5" t="s">
        <v>2606</v>
      </c>
      <c r="H12" s="5" t="s">
        <v>2607</v>
      </c>
      <c r="I12" s="5" t="s">
        <v>157</v>
      </c>
      <c r="J12" s="5" t="s">
        <v>342</v>
      </c>
      <c r="K12" s="5" t="s">
        <v>2608</v>
      </c>
      <c r="L12" s="5" t="s">
        <v>32</v>
      </c>
      <c r="M12" s="5" t="s">
        <v>265</v>
      </c>
      <c r="N12" s="5" t="s">
        <v>28</v>
      </c>
      <c r="O12" s="5"/>
      <c r="P12" s="5"/>
    </row>
    <row r="13" customFormat="false" ht="27.75" hidden="false" customHeight="true" outlineLevel="0" collapsed="false">
      <c r="A13" s="5" t="s">
        <v>2609</v>
      </c>
      <c r="B13" s="5" t="s">
        <v>235</v>
      </c>
      <c r="C13" s="5" t="s">
        <v>170</v>
      </c>
      <c r="D13" s="5" t="s">
        <v>2610</v>
      </c>
      <c r="E13" s="5" t="s">
        <v>479</v>
      </c>
      <c r="F13" s="5" t="s">
        <v>2611</v>
      </c>
      <c r="G13" s="5" t="s">
        <v>2612</v>
      </c>
      <c r="H13" s="5" t="s">
        <v>2613</v>
      </c>
      <c r="I13" s="5" t="s">
        <v>158</v>
      </c>
      <c r="J13" s="5" t="s">
        <v>342</v>
      </c>
      <c r="K13" s="5" t="s">
        <v>2614</v>
      </c>
      <c r="L13" s="5" t="s">
        <v>32</v>
      </c>
      <c r="M13" s="5" t="s">
        <v>265</v>
      </c>
      <c r="N13" s="5" t="s">
        <v>96</v>
      </c>
      <c r="O13" s="5"/>
      <c r="P13" s="5"/>
    </row>
    <row r="14" customFormat="false" ht="27.75" hidden="false" customHeight="true" outlineLevel="0" collapsed="false">
      <c r="A14" s="5" t="s">
        <v>2615</v>
      </c>
      <c r="B14" s="5" t="s">
        <v>235</v>
      </c>
      <c r="C14" s="5" t="s">
        <v>170</v>
      </c>
      <c r="D14" s="5" t="s">
        <v>2616</v>
      </c>
      <c r="E14" s="5" t="s">
        <v>2617</v>
      </c>
      <c r="F14" s="5" t="s">
        <v>368</v>
      </c>
      <c r="G14" s="5" t="s">
        <v>2618</v>
      </c>
      <c r="H14" s="5" t="s">
        <v>2619</v>
      </c>
      <c r="I14" s="5" t="s">
        <v>158</v>
      </c>
      <c r="J14" s="5" t="s">
        <v>263</v>
      </c>
      <c r="K14" s="5" t="s">
        <v>2620</v>
      </c>
      <c r="L14" s="5" t="s">
        <v>32</v>
      </c>
      <c r="M14" s="5" t="s">
        <v>265</v>
      </c>
      <c r="N14" s="5" t="s">
        <v>96</v>
      </c>
      <c r="O14" s="5"/>
      <c r="P14" s="5"/>
    </row>
    <row r="15" customFormat="false" ht="27.75" hidden="false" customHeight="true" outlineLevel="0" collapsed="false">
      <c r="A15" s="5" t="s">
        <v>2621</v>
      </c>
      <c r="B15" s="5" t="s">
        <v>235</v>
      </c>
      <c r="C15" s="5" t="s">
        <v>170</v>
      </c>
      <c r="D15" s="5" t="s">
        <v>2622</v>
      </c>
      <c r="E15" s="5" t="s">
        <v>2623</v>
      </c>
      <c r="F15" s="5" t="s">
        <v>368</v>
      </c>
      <c r="G15" s="5" t="s">
        <v>2624</v>
      </c>
      <c r="H15" s="5" t="s">
        <v>2625</v>
      </c>
      <c r="I15" s="5" t="s">
        <v>158</v>
      </c>
      <c r="J15" s="5" t="s">
        <v>263</v>
      </c>
      <c r="K15" s="5" t="s">
        <v>2626</v>
      </c>
      <c r="L15" s="5" t="s">
        <v>32</v>
      </c>
      <c r="M15" s="5" t="s">
        <v>265</v>
      </c>
      <c r="N15" s="5" t="s">
        <v>96</v>
      </c>
      <c r="O15" s="5"/>
      <c r="P15" s="5"/>
    </row>
    <row r="16" customFormat="false" ht="27.75" hidden="false" customHeight="true" outlineLevel="0" collapsed="false">
      <c r="A16" s="5" t="s">
        <v>2627</v>
      </c>
      <c r="B16" s="5" t="s">
        <v>235</v>
      </c>
      <c r="C16" s="5" t="s">
        <v>170</v>
      </c>
      <c r="D16" s="5" t="s">
        <v>2628</v>
      </c>
      <c r="E16" s="5" t="s">
        <v>479</v>
      </c>
      <c r="F16" s="5" t="s">
        <v>1425</v>
      </c>
      <c r="G16" s="5" t="s">
        <v>2629</v>
      </c>
      <c r="H16" s="5" t="s">
        <v>2630</v>
      </c>
      <c r="I16" s="5" t="s">
        <v>158</v>
      </c>
      <c r="J16" s="5" t="s">
        <v>1428</v>
      </c>
      <c r="K16" s="5" t="s">
        <v>2631</v>
      </c>
      <c r="L16" s="5" t="s">
        <v>32</v>
      </c>
      <c r="M16" s="5" t="s">
        <v>265</v>
      </c>
      <c r="N16" s="5" t="s">
        <v>96</v>
      </c>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245</v>
      </c>
      <c r="B1" s="13" t="s">
        <v>175</v>
      </c>
      <c r="C1" s="13" t="s">
        <v>154</v>
      </c>
      <c r="D1" s="13" t="s">
        <v>246</v>
      </c>
      <c r="E1" s="13" t="s">
        <v>247</v>
      </c>
      <c r="F1" s="13" t="s">
        <v>248</v>
      </c>
      <c r="G1" s="13" t="s">
        <v>249</v>
      </c>
      <c r="H1" s="13" t="s">
        <v>250</v>
      </c>
      <c r="I1" s="13" t="s">
        <v>177</v>
      </c>
      <c r="J1" s="13" t="s">
        <v>251</v>
      </c>
      <c r="K1" s="13" t="s">
        <v>252</v>
      </c>
      <c r="L1" s="13" t="s">
        <v>253</v>
      </c>
      <c r="M1" s="13" t="s">
        <v>254</v>
      </c>
      <c r="N1" s="13" t="s">
        <v>255</v>
      </c>
      <c r="O1" s="13" t="s">
        <v>256</v>
      </c>
      <c r="P1" s="13" t="s">
        <v>27</v>
      </c>
    </row>
    <row r="2" customFormat="false" ht="27.75" hidden="false" customHeight="true" outlineLevel="0" collapsed="false">
      <c r="A2" s="5" t="s">
        <v>2632</v>
      </c>
      <c r="B2" s="5" t="s">
        <v>236</v>
      </c>
      <c r="C2" s="5" t="s">
        <v>171</v>
      </c>
      <c r="D2" s="5" t="s">
        <v>2633</v>
      </c>
      <c r="E2" s="5" t="s">
        <v>2634</v>
      </c>
      <c r="F2" s="5" t="s">
        <v>368</v>
      </c>
      <c r="G2" s="5" t="s">
        <v>2635</v>
      </c>
      <c r="H2" s="5" t="s">
        <v>2636</v>
      </c>
      <c r="I2" s="5" t="s">
        <v>156</v>
      </c>
      <c r="J2" s="5" t="s">
        <v>253</v>
      </c>
      <c r="K2" s="5" t="s">
        <v>2637</v>
      </c>
      <c r="L2" s="5" t="s">
        <v>32</v>
      </c>
      <c r="M2" s="5" t="s">
        <v>265</v>
      </c>
      <c r="N2" s="5" t="s">
        <v>28</v>
      </c>
      <c r="O2" s="5"/>
      <c r="P2" s="5"/>
    </row>
    <row r="3" customFormat="false" ht="27.75" hidden="false" customHeight="true" outlineLevel="0" collapsed="false">
      <c r="A3" s="5" t="s">
        <v>2638</v>
      </c>
      <c r="B3" s="5" t="s">
        <v>236</v>
      </c>
      <c r="C3" s="5" t="s">
        <v>171</v>
      </c>
      <c r="D3" s="5" t="s">
        <v>2639</v>
      </c>
      <c r="E3" s="5" t="s">
        <v>2640</v>
      </c>
      <c r="F3" s="5" t="s">
        <v>368</v>
      </c>
      <c r="G3" s="5" t="s">
        <v>2641</v>
      </c>
      <c r="H3" s="5" t="s">
        <v>2636</v>
      </c>
      <c r="I3" s="5" t="s">
        <v>156</v>
      </c>
      <c r="J3" s="5" t="s">
        <v>253</v>
      </c>
      <c r="K3" s="5" t="s">
        <v>2642</v>
      </c>
      <c r="L3" s="5" t="s">
        <v>32</v>
      </c>
      <c r="M3" s="5" t="s">
        <v>265</v>
      </c>
      <c r="N3" s="5" t="s">
        <v>28</v>
      </c>
      <c r="O3" s="5"/>
      <c r="P3" s="5"/>
    </row>
    <row r="4" customFormat="false" ht="27.75" hidden="false" customHeight="true" outlineLevel="0" collapsed="false">
      <c r="A4" s="5" t="s">
        <v>2643</v>
      </c>
      <c r="B4" s="5" t="s">
        <v>236</v>
      </c>
      <c r="C4" s="5" t="s">
        <v>171</v>
      </c>
      <c r="D4" s="5" t="s">
        <v>2644</v>
      </c>
      <c r="E4" s="5" t="s">
        <v>2645</v>
      </c>
      <c r="F4" s="5" t="s">
        <v>368</v>
      </c>
      <c r="G4" s="5" t="s">
        <v>2646</v>
      </c>
      <c r="H4" s="5" t="s">
        <v>2647</v>
      </c>
      <c r="I4" s="5" t="s">
        <v>157</v>
      </c>
      <c r="J4" s="5" t="s">
        <v>253</v>
      </c>
      <c r="K4" s="5" t="s">
        <v>2648</v>
      </c>
      <c r="L4" s="5" t="s">
        <v>32</v>
      </c>
      <c r="M4" s="5" t="s">
        <v>265</v>
      </c>
      <c r="N4" s="5" t="s">
        <v>28</v>
      </c>
      <c r="O4" s="5"/>
      <c r="P4" s="5"/>
    </row>
    <row r="5" customFormat="false" ht="27.75" hidden="false" customHeight="true" outlineLevel="0" collapsed="false">
      <c r="A5" s="5" t="s">
        <v>2649</v>
      </c>
      <c r="B5" s="5" t="s">
        <v>236</v>
      </c>
      <c r="C5" s="5" t="s">
        <v>171</v>
      </c>
      <c r="D5" s="5" t="s">
        <v>2650</v>
      </c>
      <c r="E5" s="5" t="s">
        <v>2651</v>
      </c>
      <c r="F5" s="5" t="s">
        <v>368</v>
      </c>
      <c r="G5" s="5" t="s">
        <v>2652</v>
      </c>
      <c r="H5" s="5" t="s">
        <v>2653</v>
      </c>
      <c r="I5" s="5" t="s">
        <v>157</v>
      </c>
      <c r="J5" s="5" t="s">
        <v>253</v>
      </c>
      <c r="K5" s="5" t="s">
        <v>2654</v>
      </c>
      <c r="L5" s="5" t="s">
        <v>32</v>
      </c>
      <c r="M5" s="5" t="s">
        <v>265</v>
      </c>
      <c r="N5" s="5" t="s">
        <v>28</v>
      </c>
      <c r="O5" s="5"/>
      <c r="P5" s="5"/>
    </row>
    <row r="6" customFormat="false" ht="27.75" hidden="false" customHeight="true" outlineLevel="0" collapsed="false">
      <c r="A6" s="5" t="s">
        <v>2655</v>
      </c>
      <c r="B6" s="5" t="s">
        <v>236</v>
      </c>
      <c r="C6" s="5" t="s">
        <v>171</v>
      </c>
      <c r="D6" s="5" t="s">
        <v>2656</v>
      </c>
      <c r="E6" s="5" t="s">
        <v>2657</v>
      </c>
      <c r="F6" s="5" t="s">
        <v>368</v>
      </c>
      <c r="G6" s="5" t="s">
        <v>2658</v>
      </c>
      <c r="H6" s="5" t="s">
        <v>2659</v>
      </c>
      <c r="I6" s="5" t="s">
        <v>157</v>
      </c>
      <c r="J6" s="5" t="s">
        <v>253</v>
      </c>
      <c r="K6" s="5" t="s">
        <v>2660</v>
      </c>
      <c r="L6" s="5" t="s">
        <v>32</v>
      </c>
      <c r="M6" s="5" t="s">
        <v>265</v>
      </c>
      <c r="N6" s="5" t="s">
        <v>28</v>
      </c>
      <c r="O6" s="5"/>
      <c r="P6" s="5"/>
    </row>
    <row r="7" customFormat="false" ht="27.75" hidden="false" customHeight="true" outlineLevel="0" collapsed="false">
      <c r="A7" s="5" t="s">
        <v>2661</v>
      </c>
      <c r="B7" s="5" t="s">
        <v>236</v>
      </c>
      <c r="C7" s="5" t="s">
        <v>171</v>
      </c>
      <c r="D7" s="5" t="s">
        <v>2662</v>
      </c>
      <c r="E7" s="5" t="s">
        <v>1632</v>
      </c>
      <c r="F7" s="5" t="s">
        <v>368</v>
      </c>
      <c r="G7" s="5" t="s">
        <v>2663</v>
      </c>
      <c r="H7" s="5" t="s">
        <v>2664</v>
      </c>
      <c r="I7" s="5" t="s">
        <v>157</v>
      </c>
      <c r="J7" s="5" t="s">
        <v>253</v>
      </c>
      <c r="K7" s="5" t="s">
        <v>2665</v>
      </c>
      <c r="L7" s="5" t="s">
        <v>32</v>
      </c>
      <c r="M7" s="5" t="s">
        <v>265</v>
      </c>
      <c r="N7" s="5" t="s">
        <v>28</v>
      </c>
      <c r="O7" s="5"/>
      <c r="P7" s="5"/>
    </row>
    <row r="8" customFormat="false" ht="27.75" hidden="false" customHeight="true" outlineLevel="0" collapsed="false">
      <c r="A8" s="5" t="s">
        <v>2666</v>
      </c>
      <c r="B8" s="5" t="s">
        <v>236</v>
      </c>
      <c r="C8" s="5" t="s">
        <v>171</v>
      </c>
      <c r="D8" s="5" t="s">
        <v>2667</v>
      </c>
      <c r="E8" s="5" t="s">
        <v>2668</v>
      </c>
      <c r="F8" s="5" t="s">
        <v>368</v>
      </c>
      <c r="G8" s="5" t="s">
        <v>2669</v>
      </c>
      <c r="H8" s="5" t="s">
        <v>2670</v>
      </c>
      <c r="I8" s="5" t="s">
        <v>156</v>
      </c>
      <c r="J8" s="5" t="s">
        <v>253</v>
      </c>
      <c r="K8" s="5" t="s">
        <v>2671</v>
      </c>
      <c r="L8" s="5" t="s">
        <v>32</v>
      </c>
      <c r="M8" s="5" t="s">
        <v>265</v>
      </c>
      <c r="N8" s="5" t="s">
        <v>28</v>
      </c>
      <c r="O8" s="5"/>
      <c r="P8" s="5"/>
    </row>
    <row r="9" customFormat="false" ht="27.75" hidden="false" customHeight="true" outlineLevel="0" collapsed="false">
      <c r="A9" s="5" t="s">
        <v>2672</v>
      </c>
      <c r="B9" s="5" t="s">
        <v>236</v>
      </c>
      <c r="C9" s="5" t="s">
        <v>171</v>
      </c>
      <c r="D9" s="5" t="s">
        <v>2673</v>
      </c>
      <c r="E9" s="5" t="s">
        <v>2674</v>
      </c>
      <c r="F9" s="5" t="s">
        <v>368</v>
      </c>
      <c r="G9" s="5" t="s">
        <v>2675</v>
      </c>
      <c r="H9" s="5" t="s">
        <v>2676</v>
      </c>
      <c r="I9" s="5" t="s">
        <v>157</v>
      </c>
      <c r="J9" s="5" t="s">
        <v>253</v>
      </c>
      <c r="K9" s="5" t="s">
        <v>2677</v>
      </c>
      <c r="L9" s="5" t="s">
        <v>32</v>
      </c>
      <c r="M9" s="5" t="s">
        <v>265</v>
      </c>
      <c r="N9" s="5" t="s">
        <v>28</v>
      </c>
      <c r="O9" s="5"/>
      <c r="P9" s="5"/>
    </row>
    <row r="10" customFormat="false" ht="27.75" hidden="false" customHeight="true" outlineLevel="0" collapsed="false">
      <c r="A10" s="5" t="s">
        <v>2678</v>
      </c>
      <c r="B10" s="5" t="s">
        <v>237</v>
      </c>
      <c r="C10" s="5" t="s">
        <v>171</v>
      </c>
      <c r="D10" s="5" t="s">
        <v>2679</v>
      </c>
      <c r="E10" s="5" t="s">
        <v>2680</v>
      </c>
      <c r="F10" s="5" t="s">
        <v>368</v>
      </c>
      <c r="G10" s="5" t="s">
        <v>2681</v>
      </c>
      <c r="H10" s="5" t="s">
        <v>2682</v>
      </c>
      <c r="I10" s="5" t="s">
        <v>156</v>
      </c>
      <c r="J10" s="5" t="s">
        <v>253</v>
      </c>
      <c r="K10" s="5" t="s">
        <v>2683</v>
      </c>
      <c r="L10" s="5" t="s">
        <v>32</v>
      </c>
      <c r="M10" s="5" t="s">
        <v>265</v>
      </c>
      <c r="N10" s="5" t="s">
        <v>28</v>
      </c>
      <c r="O10" s="5"/>
      <c r="P10" s="5"/>
    </row>
    <row r="11" customFormat="false" ht="27.75" hidden="false" customHeight="true" outlineLevel="0" collapsed="false">
      <c r="A11" s="5" t="s">
        <v>2684</v>
      </c>
      <c r="B11" s="5" t="s">
        <v>237</v>
      </c>
      <c r="C11" s="5" t="s">
        <v>171</v>
      </c>
      <c r="D11" s="5" t="s">
        <v>2685</v>
      </c>
      <c r="E11" s="5" t="s">
        <v>2680</v>
      </c>
      <c r="F11" s="5" t="s">
        <v>368</v>
      </c>
      <c r="G11" s="5" t="s">
        <v>2686</v>
      </c>
      <c r="H11" s="5" t="s">
        <v>2341</v>
      </c>
      <c r="I11" s="5" t="s">
        <v>156</v>
      </c>
      <c r="J11" s="5" t="s">
        <v>253</v>
      </c>
      <c r="K11" s="5" t="s">
        <v>2687</v>
      </c>
      <c r="L11" s="5" t="s">
        <v>32</v>
      </c>
      <c r="M11" s="5" t="s">
        <v>265</v>
      </c>
      <c r="N11" s="5" t="s">
        <v>28</v>
      </c>
      <c r="O11" s="5"/>
      <c r="P11" s="5"/>
    </row>
    <row r="12" customFormat="false" ht="27.75" hidden="false" customHeight="true" outlineLevel="0" collapsed="false">
      <c r="A12" s="5" t="s">
        <v>2688</v>
      </c>
      <c r="B12" s="5" t="s">
        <v>237</v>
      </c>
      <c r="C12" s="5" t="s">
        <v>171</v>
      </c>
      <c r="D12" s="5" t="s">
        <v>2689</v>
      </c>
      <c r="E12" s="5" t="s">
        <v>2690</v>
      </c>
      <c r="F12" s="5" t="s">
        <v>2691</v>
      </c>
      <c r="G12" s="5" t="s">
        <v>2692</v>
      </c>
      <c r="H12" s="5" t="s">
        <v>2341</v>
      </c>
      <c r="I12" s="5" t="s">
        <v>156</v>
      </c>
      <c r="J12" s="5" t="s">
        <v>253</v>
      </c>
      <c r="K12" s="5" t="s">
        <v>2693</v>
      </c>
      <c r="L12" s="5" t="s">
        <v>32</v>
      </c>
      <c r="M12" s="5" t="s">
        <v>265</v>
      </c>
      <c r="N12" s="5" t="s">
        <v>28</v>
      </c>
      <c r="O12" s="5"/>
      <c r="P12" s="5"/>
    </row>
    <row r="13" customFormat="false" ht="27.75" hidden="false" customHeight="true" outlineLevel="0" collapsed="false">
      <c r="A13" s="5" t="s">
        <v>2694</v>
      </c>
      <c r="B13" s="5" t="s">
        <v>237</v>
      </c>
      <c r="C13" s="5" t="s">
        <v>171</v>
      </c>
      <c r="D13" s="5" t="s">
        <v>2695</v>
      </c>
      <c r="E13" s="5" t="s">
        <v>2696</v>
      </c>
      <c r="F13" s="5" t="s">
        <v>368</v>
      </c>
      <c r="G13" s="5" t="s">
        <v>2697</v>
      </c>
      <c r="H13" s="5" t="s">
        <v>2341</v>
      </c>
      <c r="I13" s="5" t="s">
        <v>156</v>
      </c>
      <c r="J13" s="5" t="s">
        <v>253</v>
      </c>
      <c r="K13" s="5" t="s">
        <v>2698</v>
      </c>
      <c r="L13" s="5" t="s">
        <v>32</v>
      </c>
      <c r="M13" s="5" t="s">
        <v>265</v>
      </c>
      <c r="N13" s="5" t="s">
        <v>28</v>
      </c>
      <c r="O13" s="5"/>
      <c r="P13" s="5"/>
    </row>
    <row r="14" customFormat="false" ht="27.75" hidden="false" customHeight="true" outlineLevel="0" collapsed="false">
      <c r="A14" s="5" t="s">
        <v>2699</v>
      </c>
      <c r="B14" s="5" t="s">
        <v>237</v>
      </c>
      <c r="C14" s="5" t="s">
        <v>171</v>
      </c>
      <c r="D14" s="5" t="s">
        <v>2700</v>
      </c>
      <c r="E14" s="5" t="s">
        <v>2701</v>
      </c>
      <c r="F14" s="5" t="s">
        <v>2702</v>
      </c>
      <c r="G14" s="5" t="s">
        <v>2703</v>
      </c>
      <c r="H14" s="5" t="s">
        <v>2704</v>
      </c>
      <c r="I14" s="5" t="s">
        <v>156</v>
      </c>
      <c r="J14" s="5" t="s">
        <v>253</v>
      </c>
      <c r="K14" s="5" t="s">
        <v>2705</v>
      </c>
      <c r="L14" s="5" t="s">
        <v>32</v>
      </c>
      <c r="M14" s="5" t="s">
        <v>265</v>
      </c>
      <c r="N14" s="5" t="s">
        <v>28</v>
      </c>
      <c r="O14" s="5"/>
      <c r="P14" s="5"/>
    </row>
    <row r="15" customFormat="false" ht="27.75" hidden="false" customHeight="true" outlineLevel="0" collapsed="false">
      <c r="A15" s="5" t="s">
        <v>2706</v>
      </c>
      <c r="B15" s="5" t="s">
        <v>237</v>
      </c>
      <c r="C15" s="5" t="s">
        <v>171</v>
      </c>
      <c r="D15" s="5" t="s">
        <v>2707</v>
      </c>
      <c r="E15" s="5" t="s">
        <v>2701</v>
      </c>
      <c r="F15" s="5" t="s">
        <v>368</v>
      </c>
      <c r="G15" s="5" t="s">
        <v>2697</v>
      </c>
      <c r="H15" s="5" t="s">
        <v>2341</v>
      </c>
      <c r="I15" s="5" t="s">
        <v>156</v>
      </c>
      <c r="J15" s="5" t="s">
        <v>253</v>
      </c>
      <c r="K15" s="5" t="s">
        <v>2708</v>
      </c>
      <c r="L15" s="5" t="s">
        <v>32</v>
      </c>
      <c r="M15" s="5" t="s">
        <v>265</v>
      </c>
      <c r="N15" s="5" t="s">
        <v>28</v>
      </c>
      <c r="O15" s="5"/>
      <c r="P15" s="5"/>
    </row>
    <row r="16" customFormat="false" ht="27.75" hidden="false" customHeight="true" outlineLevel="0" collapsed="false">
      <c r="A16" s="5" t="s">
        <v>2709</v>
      </c>
      <c r="B16" s="5" t="s">
        <v>237</v>
      </c>
      <c r="C16" s="5" t="s">
        <v>171</v>
      </c>
      <c r="D16" s="5" t="s">
        <v>2710</v>
      </c>
      <c r="E16" s="5" t="s">
        <v>2711</v>
      </c>
      <c r="F16" s="5" t="s">
        <v>368</v>
      </c>
      <c r="G16" s="5" t="s">
        <v>2686</v>
      </c>
      <c r="H16" s="5" t="s">
        <v>2341</v>
      </c>
      <c r="I16" s="5" t="s">
        <v>156</v>
      </c>
      <c r="J16" s="5" t="s">
        <v>253</v>
      </c>
      <c r="K16" s="5" t="s">
        <v>2712</v>
      </c>
      <c r="L16" s="5" t="s">
        <v>32</v>
      </c>
      <c r="M16" s="5" t="s">
        <v>265</v>
      </c>
      <c r="N16" s="5" t="s">
        <v>28</v>
      </c>
      <c r="O16" s="5"/>
      <c r="P16" s="5"/>
    </row>
    <row r="17" customFormat="false" ht="27.75" hidden="false" customHeight="true" outlineLevel="0" collapsed="false">
      <c r="A17" s="5" t="s">
        <v>2713</v>
      </c>
      <c r="B17" s="5" t="s">
        <v>237</v>
      </c>
      <c r="C17" s="5" t="s">
        <v>171</v>
      </c>
      <c r="D17" s="5" t="s">
        <v>2714</v>
      </c>
      <c r="E17" s="5" t="s">
        <v>2715</v>
      </c>
      <c r="F17" s="5" t="s">
        <v>368</v>
      </c>
      <c r="G17" s="5" t="s">
        <v>2716</v>
      </c>
      <c r="H17" s="5" t="s">
        <v>2341</v>
      </c>
      <c r="I17" s="5" t="s">
        <v>157</v>
      </c>
      <c r="J17" s="5" t="s">
        <v>253</v>
      </c>
      <c r="K17" s="5" t="s">
        <v>2717</v>
      </c>
      <c r="L17" s="5" t="s">
        <v>32</v>
      </c>
      <c r="M17" s="5" t="s">
        <v>265</v>
      </c>
      <c r="N17" s="5" t="s">
        <v>28</v>
      </c>
      <c r="O17" s="5"/>
      <c r="P17" s="5"/>
    </row>
    <row r="18" customFormat="false" ht="27.75" hidden="false" customHeight="true" outlineLevel="0" collapsed="false">
      <c r="A18" s="5" t="s">
        <v>2718</v>
      </c>
      <c r="B18" s="5" t="s">
        <v>237</v>
      </c>
      <c r="C18" s="5" t="s">
        <v>171</v>
      </c>
      <c r="D18" s="5" t="s">
        <v>2719</v>
      </c>
      <c r="E18" s="5" t="s">
        <v>2711</v>
      </c>
      <c r="F18" s="5" t="s">
        <v>368</v>
      </c>
      <c r="G18" s="5" t="s">
        <v>2720</v>
      </c>
      <c r="H18" s="5" t="s">
        <v>2721</v>
      </c>
      <c r="I18" s="5" t="s">
        <v>156</v>
      </c>
      <c r="J18" s="5" t="s">
        <v>253</v>
      </c>
      <c r="K18" s="5" t="s">
        <v>2722</v>
      </c>
      <c r="L18" s="5" t="s">
        <v>32</v>
      </c>
      <c r="M18" s="5" t="s">
        <v>265</v>
      </c>
      <c r="N18" s="5" t="s">
        <v>28</v>
      </c>
      <c r="O18" s="5"/>
      <c r="P18" s="5"/>
    </row>
    <row r="19" customFormat="false" ht="27.75" hidden="false" customHeight="true" outlineLevel="0" collapsed="false">
      <c r="A19" s="5" t="s">
        <v>2723</v>
      </c>
      <c r="B19" s="5" t="s">
        <v>237</v>
      </c>
      <c r="C19" s="5" t="s">
        <v>171</v>
      </c>
      <c r="D19" s="5" t="s">
        <v>2724</v>
      </c>
      <c r="E19" s="5" t="s">
        <v>2680</v>
      </c>
      <c r="F19" s="5" t="s">
        <v>368</v>
      </c>
      <c r="G19" s="5" t="s">
        <v>2725</v>
      </c>
      <c r="H19" s="5" t="s">
        <v>2726</v>
      </c>
      <c r="I19" s="5" t="s">
        <v>156</v>
      </c>
      <c r="J19" s="5" t="s">
        <v>253</v>
      </c>
      <c r="K19" s="5" t="s">
        <v>2727</v>
      </c>
      <c r="L19" s="5" t="s">
        <v>32</v>
      </c>
      <c r="M19" s="5" t="s">
        <v>265</v>
      </c>
      <c r="N19" s="5" t="s">
        <v>28</v>
      </c>
      <c r="O19" s="5"/>
      <c r="P19" s="5"/>
    </row>
    <row r="20" customFormat="false" ht="27.75" hidden="false" customHeight="true" outlineLevel="0" collapsed="false">
      <c r="A20" s="5" t="s">
        <v>2728</v>
      </c>
      <c r="B20" s="5" t="s">
        <v>237</v>
      </c>
      <c r="C20" s="5" t="s">
        <v>171</v>
      </c>
      <c r="D20" s="5" t="s">
        <v>2729</v>
      </c>
      <c r="E20" s="5" t="s">
        <v>2715</v>
      </c>
      <c r="F20" s="5" t="s">
        <v>368</v>
      </c>
      <c r="G20" s="5" t="s">
        <v>2730</v>
      </c>
      <c r="H20" s="5" t="s">
        <v>2731</v>
      </c>
      <c r="I20" s="5" t="s">
        <v>157</v>
      </c>
      <c r="J20" s="5" t="s">
        <v>253</v>
      </c>
      <c r="K20" s="5" t="s">
        <v>2732</v>
      </c>
      <c r="L20" s="5" t="s">
        <v>32</v>
      </c>
      <c r="M20" s="5" t="s">
        <v>265</v>
      </c>
      <c r="N20" s="5" t="s">
        <v>28</v>
      </c>
      <c r="O20" s="5"/>
      <c r="P20" s="5"/>
    </row>
    <row r="21" customFormat="false" ht="27.75" hidden="false" customHeight="true" outlineLevel="0" collapsed="false">
      <c r="A21" s="5" t="s">
        <v>2733</v>
      </c>
      <c r="B21" s="5" t="s">
        <v>237</v>
      </c>
      <c r="C21" s="5" t="s">
        <v>171</v>
      </c>
      <c r="D21" s="5" t="s">
        <v>2734</v>
      </c>
      <c r="E21" s="5" t="s">
        <v>2735</v>
      </c>
      <c r="F21" s="5" t="s">
        <v>368</v>
      </c>
      <c r="G21" s="5" t="s">
        <v>2736</v>
      </c>
      <c r="H21" s="5" t="s">
        <v>2091</v>
      </c>
      <c r="I21" s="5" t="s">
        <v>156</v>
      </c>
      <c r="J21" s="5" t="s">
        <v>253</v>
      </c>
      <c r="K21" s="5" t="s">
        <v>2737</v>
      </c>
      <c r="L21" s="5" t="s">
        <v>32</v>
      </c>
      <c r="M21" s="5" t="s">
        <v>265</v>
      </c>
      <c r="N21" s="5" t="s">
        <v>28</v>
      </c>
      <c r="O21" s="5"/>
      <c r="P21" s="5"/>
    </row>
    <row r="22" customFormat="false" ht="27.75" hidden="false" customHeight="true" outlineLevel="0" collapsed="false">
      <c r="A22" s="5" t="s">
        <v>2738</v>
      </c>
      <c r="B22" s="5" t="s">
        <v>237</v>
      </c>
      <c r="C22" s="5" t="s">
        <v>171</v>
      </c>
      <c r="D22" s="5" t="s">
        <v>2739</v>
      </c>
      <c r="E22" s="5" t="s">
        <v>2696</v>
      </c>
      <c r="F22" s="5" t="s">
        <v>2740</v>
      </c>
      <c r="G22" s="5" t="s">
        <v>2741</v>
      </c>
      <c r="H22" s="5" t="s">
        <v>2742</v>
      </c>
      <c r="I22" s="5" t="s">
        <v>157</v>
      </c>
      <c r="J22" s="5" t="s">
        <v>253</v>
      </c>
      <c r="K22" s="5" t="s">
        <v>2743</v>
      </c>
      <c r="L22" s="5" t="s">
        <v>32</v>
      </c>
      <c r="M22" s="5" t="s">
        <v>265</v>
      </c>
      <c r="N22" s="5" t="s">
        <v>28</v>
      </c>
      <c r="O22" s="5"/>
      <c r="P22" s="5"/>
    </row>
    <row r="23" customFormat="false" ht="68.25" hidden="false" customHeight="true" outlineLevel="0" collapsed="false">
      <c r="A23" s="5" t="s">
        <v>2744</v>
      </c>
      <c r="B23" s="5" t="s">
        <v>238</v>
      </c>
      <c r="C23" s="5" t="s">
        <v>171</v>
      </c>
      <c r="D23" s="5" t="s">
        <v>2745</v>
      </c>
      <c r="E23" s="5" t="s">
        <v>2746</v>
      </c>
      <c r="F23" s="5" t="s">
        <v>368</v>
      </c>
      <c r="G23" s="5" t="s">
        <v>2747</v>
      </c>
      <c r="H23" s="5" t="s">
        <v>2748</v>
      </c>
      <c r="I23" s="5" t="s">
        <v>156</v>
      </c>
      <c r="J23" s="5" t="s">
        <v>253</v>
      </c>
      <c r="K23" s="5" t="s">
        <v>2749</v>
      </c>
      <c r="L23" s="5" t="s">
        <v>32</v>
      </c>
      <c r="M23" s="5" t="s">
        <v>265</v>
      </c>
      <c r="N23" s="5" t="s">
        <v>28</v>
      </c>
      <c r="O23" s="5"/>
      <c r="P23" s="5"/>
    </row>
    <row r="24" customFormat="false" ht="27.75" hidden="false" customHeight="true" outlineLevel="0" collapsed="false">
      <c r="A24" s="5" t="s">
        <v>2750</v>
      </c>
      <c r="B24" s="5" t="s">
        <v>238</v>
      </c>
      <c r="C24" s="5" t="s">
        <v>171</v>
      </c>
      <c r="D24" s="5" t="s">
        <v>2751</v>
      </c>
      <c r="E24" s="5" t="s">
        <v>2752</v>
      </c>
      <c r="F24" s="5" t="s">
        <v>368</v>
      </c>
      <c r="G24" s="5" t="s">
        <v>2753</v>
      </c>
      <c r="H24" s="5" t="s">
        <v>2754</v>
      </c>
      <c r="I24" s="5" t="s">
        <v>157</v>
      </c>
      <c r="J24" s="5" t="s">
        <v>286</v>
      </c>
      <c r="K24" s="5" t="s">
        <v>2755</v>
      </c>
      <c r="L24" s="5" t="s">
        <v>32</v>
      </c>
      <c r="M24" s="5" t="s">
        <v>265</v>
      </c>
      <c r="N24" s="5" t="s">
        <v>28</v>
      </c>
      <c r="O24" s="5"/>
      <c r="P24" s="5"/>
    </row>
    <row r="25" customFormat="false" ht="27.75" hidden="false" customHeight="true" outlineLevel="0" collapsed="false">
      <c r="A25" s="5" t="s">
        <v>2756</v>
      </c>
      <c r="B25" s="5" t="s">
        <v>238</v>
      </c>
      <c r="C25" s="5" t="s">
        <v>171</v>
      </c>
      <c r="D25" s="5" t="s">
        <v>2757</v>
      </c>
      <c r="E25" s="5" t="s">
        <v>2758</v>
      </c>
      <c r="F25" s="5" t="s">
        <v>368</v>
      </c>
      <c r="G25" s="5" t="s">
        <v>2759</v>
      </c>
      <c r="H25" s="5" t="s">
        <v>2760</v>
      </c>
      <c r="I25" s="5" t="s">
        <v>157</v>
      </c>
      <c r="J25" s="5" t="s">
        <v>253</v>
      </c>
      <c r="K25" s="5" t="s">
        <v>2761</v>
      </c>
      <c r="L25" s="5" t="s">
        <v>32</v>
      </c>
      <c r="M25" s="5" t="s">
        <v>265</v>
      </c>
      <c r="N25" s="5" t="s">
        <v>28</v>
      </c>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245</v>
      </c>
      <c r="B1" s="13" t="s">
        <v>175</v>
      </c>
      <c r="C1" s="13" t="s">
        <v>154</v>
      </c>
      <c r="D1" s="13" t="s">
        <v>246</v>
      </c>
      <c r="E1" s="13" t="s">
        <v>247</v>
      </c>
      <c r="F1" s="13" t="s">
        <v>248</v>
      </c>
      <c r="G1" s="13" t="s">
        <v>249</v>
      </c>
      <c r="H1" s="13" t="s">
        <v>250</v>
      </c>
      <c r="I1" s="13" t="s">
        <v>177</v>
      </c>
      <c r="J1" s="13" t="s">
        <v>251</v>
      </c>
      <c r="K1" s="13" t="s">
        <v>252</v>
      </c>
      <c r="L1" s="13" t="s">
        <v>253</v>
      </c>
      <c r="M1" s="13" t="s">
        <v>254</v>
      </c>
      <c r="N1" s="13" t="s">
        <v>255</v>
      </c>
      <c r="O1" s="13" t="s">
        <v>256</v>
      </c>
      <c r="P1" s="13" t="s">
        <v>27</v>
      </c>
    </row>
    <row r="2" customFormat="false" ht="27.75" hidden="false" customHeight="true" outlineLevel="0" collapsed="false">
      <c r="A2" s="5" t="s">
        <v>2762</v>
      </c>
      <c r="B2" s="5" t="s">
        <v>239</v>
      </c>
      <c r="C2" s="5" t="s">
        <v>172</v>
      </c>
      <c r="D2" s="5" t="s">
        <v>2763</v>
      </c>
      <c r="E2" s="5" t="s">
        <v>2764</v>
      </c>
      <c r="F2" s="5" t="s">
        <v>368</v>
      </c>
      <c r="G2" s="5" t="s">
        <v>2765</v>
      </c>
      <c r="H2" s="5" t="s">
        <v>2766</v>
      </c>
      <c r="I2" s="5" t="s">
        <v>156</v>
      </c>
      <c r="J2" s="5" t="s">
        <v>342</v>
      </c>
      <c r="K2" s="5" t="s">
        <v>2767</v>
      </c>
      <c r="L2" s="5" t="s">
        <v>32</v>
      </c>
      <c r="M2" s="5" t="s">
        <v>265</v>
      </c>
      <c r="N2" s="5" t="s">
        <v>28</v>
      </c>
      <c r="O2" s="5"/>
      <c r="P2" s="5"/>
    </row>
    <row r="3" customFormat="false" ht="27.75" hidden="false" customHeight="true" outlineLevel="0" collapsed="false">
      <c r="A3" s="5" t="s">
        <v>2768</v>
      </c>
      <c r="B3" s="5" t="s">
        <v>239</v>
      </c>
      <c r="C3" s="5" t="s">
        <v>172</v>
      </c>
      <c r="D3" s="5" t="s">
        <v>2769</v>
      </c>
      <c r="E3" s="5" t="s">
        <v>274</v>
      </c>
      <c r="F3" s="5" t="s">
        <v>368</v>
      </c>
      <c r="G3" s="5" t="s">
        <v>2770</v>
      </c>
      <c r="H3" s="5" t="s">
        <v>2771</v>
      </c>
      <c r="I3" s="5" t="s">
        <v>156</v>
      </c>
      <c r="J3" s="5" t="s">
        <v>342</v>
      </c>
      <c r="K3" s="5" t="s">
        <v>2772</v>
      </c>
      <c r="L3" s="5" t="s">
        <v>32</v>
      </c>
      <c r="M3" s="5" t="s">
        <v>265</v>
      </c>
      <c r="N3" s="5" t="s">
        <v>28</v>
      </c>
      <c r="O3" s="5"/>
      <c r="P3" s="5"/>
    </row>
    <row r="4" customFormat="false" ht="27.75" hidden="false" customHeight="true" outlineLevel="0" collapsed="false">
      <c r="A4" s="5" t="s">
        <v>2773</v>
      </c>
      <c r="B4" s="5" t="s">
        <v>239</v>
      </c>
      <c r="C4" s="5" t="s">
        <v>172</v>
      </c>
      <c r="D4" s="5" t="s">
        <v>2774</v>
      </c>
      <c r="E4" s="5" t="s">
        <v>2775</v>
      </c>
      <c r="F4" s="5" t="s">
        <v>2776</v>
      </c>
      <c r="G4" s="5" t="s">
        <v>2777</v>
      </c>
      <c r="H4" s="5" t="s">
        <v>2771</v>
      </c>
      <c r="I4" s="5" t="s">
        <v>156</v>
      </c>
      <c r="J4" s="5" t="s">
        <v>342</v>
      </c>
      <c r="K4" s="5" t="s">
        <v>2778</v>
      </c>
      <c r="L4" s="5" t="s">
        <v>32</v>
      </c>
      <c r="M4" s="5" t="s">
        <v>265</v>
      </c>
      <c r="N4" s="5" t="s">
        <v>28</v>
      </c>
      <c r="O4" s="5"/>
      <c r="P4" s="5"/>
    </row>
    <row r="5" customFormat="false" ht="27.75" hidden="false" customHeight="true" outlineLevel="0" collapsed="false">
      <c r="A5" s="5" t="s">
        <v>2779</v>
      </c>
      <c r="B5" s="5" t="s">
        <v>239</v>
      </c>
      <c r="C5" s="5" t="s">
        <v>172</v>
      </c>
      <c r="D5" s="5" t="s">
        <v>2780</v>
      </c>
      <c r="E5" s="5" t="s">
        <v>2781</v>
      </c>
      <c r="F5" s="5" t="s">
        <v>368</v>
      </c>
      <c r="G5" s="5" t="s">
        <v>2782</v>
      </c>
      <c r="H5" s="5" t="s">
        <v>2783</v>
      </c>
      <c r="I5" s="5" t="s">
        <v>156</v>
      </c>
      <c r="J5" s="5" t="s">
        <v>342</v>
      </c>
      <c r="K5" s="5" t="s">
        <v>2784</v>
      </c>
      <c r="L5" s="5" t="s">
        <v>32</v>
      </c>
      <c r="M5" s="5" t="s">
        <v>265</v>
      </c>
      <c r="N5" s="5" t="s">
        <v>28</v>
      </c>
      <c r="O5" s="5"/>
      <c r="P5" s="5"/>
    </row>
    <row r="6" customFormat="false" ht="15" hidden="false" customHeight="true" outlineLevel="0" collapsed="false">
      <c r="A6" s="5" t="s">
        <v>2785</v>
      </c>
      <c r="B6" s="5" t="s">
        <v>239</v>
      </c>
      <c r="C6" s="5" t="s">
        <v>172</v>
      </c>
      <c r="D6" s="5" t="s">
        <v>2786</v>
      </c>
      <c r="E6" s="5" t="s">
        <v>2787</v>
      </c>
      <c r="F6" s="5" t="s">
        <v>2788</v>
      </c>
      <c r="G6" s="5" t="s">
        <v>2789</v>
      </c>
      <c r="H6" s="5" t="s">
        <v>2790</v>
      </c>
      <c r="I6" s="5" t="s">
        <v>156</v>
      </c>
      <c r="J6" s="5" t="s">
        <v>342</v>
      </c>
      <c r="K6" s="5" t="s">
        <v>2791</v>
      </c>
      <c r="L6" s="5" t="s">
        <v>32</v>
      </c>
      <c r="M6" s="5" t="s">
        <v>265</v>
      </c>
      <c r="N6" s="5" t="s">
        <v>28</v>
      </c>
      <c r="O6" s="5"/>
      <c r="P6" s="5"/>
    </row>
    <row r="7" customFormat="false" ht="15" hidden="false" customHeight="true" outlineLevel="0" collapsed="false">
      <c r="A7" s="5" t="s">
        <v>2792</v>
      </c>
      <c r="B7" s="5" t="s">
        <v>239</v>
      </c>
      <c r="C7" s="5" t="s">
        <v>172</v>
      </c>
      <c r="D7" s="5" t="s">
        <v>2793</v>
      </c>
      <c r="E7" s="5" t="s">
        <v>368</v>
      </c>
      <c r="F7" s="5" t="s">
        <v>2794</v>
      </c>
      <c r="G7" s="5" t="s">
        <v>2795</v>
      </c>
      <c r="H7" s="5" t="s">
        <v>2796</v>
      </c>
      <c r="I7" s="5" t="s">
        <v>157</v>
      </c>
      <c r="J7" s="5" t="s">
        <v>342</v>
      </c>
      <c r="K7" s="5" t="s">
        <v>2797</v>
      </c>
      <c r="L7" s="5" t="s">
        <v>32</v>
      </c>
      <c r="M7" s="5" t="s">
        <v>265</v>
      </c>
      <c r="N7" s="5" t="s">
        <v>28</v>
      </c>
      <c r="O7" s="5"/>
      <c r="P7" s="5"/>
    </row>
    <row r="8" customFormat="false" ht="15" hidden="false" customHeight="true" outlineLevel="0" collapsed="false">
      <c r="A8" s="5" t="s">
        <v>2798</v>
      </c>
      <c r="B8" s="5" t="s">
        <v>239</v>
      </c>
      <c r="C8" s="5" t="s">
        <v>172</v>
      </c>
      <c r="D8" s="5" t="s">
        <v>2799</v>
      </c>
      <c r="E8" s="5" t="s">
        <v>368</v>
      </c>
      <c r="F8" s="5" t="s">
        <v>2800</v>
      </c>
      <c r="G8" s="5" t="s">
        <v>2801</v>
      </c>
      <c r="H8" s="5" t="s">
        <v>2802</v>
      </c>
      <c r="I8" s="5" t="s">
        <v>157</v>
      </c>
      <c r="J8" s="5" t="s">
        <v>342</v>
      </c>
      <c r="K8" s="5" t="s">
        <v>2803</v>
      </c>
      <c r="L8" s="5" t="s">
        <v>32</v>
      </c>
      <c r="M8" s="5" t="s">
        <v>265</v>
      </c>
      <c r="N8" s="5" t="s">
        <v>28</v>
      </c>
      <c r="O8" s="5"/>
      <c r="P8" s="5"/>
    </row>
    <row r="9" customFormat="false" ht="15" hidden="false" customHeight="true" outlineLevel="0" collapsed="false">
      <c r="A9" s="5" t="s">
        <v>2804</v>
      </c>
      <c r="B9" s="5" t="s">
        <v>239</v>
      </c>
      <c r="C9" s="5" t="s">
        <v>172</v>
      </c>
      <c r="D9" s="5" t="s">
        <v>2805</v>
      </c>
      <c r="E9" s="5" t="s">
        <v>368</v>
      </c>
      <c r="F9" s="5" t="s">
        <v>2806</v>
      </c>
      <c r="G9" s="5" t="s">
        <v>2807</v>
      </c>
      <c r="H9" s="5" t="s">
        <v>2808</v>
      </c>
      <c r="I9" s="5" t="s">
        <v>157</v>
      </c>
      <c r="J9" s="5" t="s">
        <v>342</v>
      </c>
      <c r="K9" s="5" t="s">
        <v>2809</v>
      </c>
      <c r="L9" s="5" t="s">
        <v>32</v>
      </c>
      <c r="M9" s="5" t="s">
        <v>265</v>
      </c>
      <c r="N9" s="5" t="s">
        <v>28</v>
      </c>
      <c r="O9" s="5" t="s">
        <v>2810</v>
      </c>
      <c r="P9" s="5"/>
    </row>
    <row r="10" customFormat="false" ht="27.75" hidden="false" customHeight="true" outlineLevel="0" collapsed="false">
      <c r="A10" s="5" t="s">
        <v>2811</v>
      </c>
      <c r="B10" s="5" t="s">
        <v>239</v>
      </c>
      <c r="C10" s="5" t="s">
        <v>172</v>
      </c>
      <c r="D10" s="5" t="s">
        <v>2812</v>
      </c>
      <c r="E10" s="5" t="s">
        <v>368</v>
      </c>
      <c r="F10" s="5" t="s">
        <v>368</v>
      </c>
      <c r="G10" s="5" t="s">
        <v>2813</v>
      </c>
      <c r="H10" s="5" t="s">
        <v>2814</v>
      </c>
      <c r="I10" s="5" t="s">
        <v>157</v>
      </c>
      <c r="J10" s="5" t="s">
        <v>342</v>
      </c>
      <c r="K10" s="5" t="s">
        <v>2815</v>
      </c>
      <c r="L10" s="5" t="s">
        <v>32</v>
      </c>
      <c r="M10" s="5" t="s">
        <v>265</v>
      </c>
      <c r="N10" s="5" t="s">
        <v>28</v>
      </c>
      <c r="O10" s="5"/>
      <c r="P10" s="5"/>
    </row>
    <row r="11" customFormat="false" ht="15" hidden="false" customHeight="true" outlineLevel="0" collapsed="false">
      <c r="A11" s="5" t="s">
        <v>2816</v>
      </c>
      <c r="B11" s="5" t="s">
        <v>239</v>
      </c>
      <c r="C11" s="5" t="s">
        <v>172</v>
      </c>
      <c r="D11" s="5" t="s">
        <v>2817</v>
      </c>
      <c r="E11" s="5" t="s">
        <v>368</v>
      </c>
      <c r="F11" s="5" t="s">
        <v>2818</v>
      </c>
      <c r="G11" s="5" t="s">
        <v>2819</v>
      </c>
      <c r="H11" s="5" t="s">
        <v>2820</v>
      </c>
      <c r="I11" s="5" t="s">
        <v>157</v>
      </c>
      <c r="J11" s="5" t="s">
        <v>342</v>
      </c>
      <c r="K11" s="5" t="s">
        <v>2821</v>
      </c>
      <c r="L11" s="5" t="s">
        <v>32</v>
      </c>
      <c r="M11" s="5" t="s">
        <v>265</v>
      </c>
      <c r="N11" s="5" t="s">
        <v>28</v>
      </c>
      <c r="O11" s="5"/>
      <c r="P11" s="5"/>
    </row>
    <row r="12" customFormat="false" ht="27.75" hidden="false" customHeight="true" outlineLevel="0" collapsed="false">
      <c r="A12" s="5" t="s">
        <v>2822</v>
      </c>
      <c r="B12" s="5" t="s">
        <v>239</v>
      </c>
      <c r="C12" s="5" t="s">
        <v>172</v>
      </c>
      <c r="D12" s="5" t="s">
        <v>2823</v>
      </c>
      <c r="E12" s="5" t="s">
        <v>368</v>
      </c>
      <c r="F12" s="5" t="s">
        <v>368</v>
      </c>
      <c r="G12" s="5" t="s">
        <v>2824</v>
      </c>
      <c r="H12" s="5" t="s">
        <v>2825</v>
      </c>
      <c r="I12" s="5" t="s">
        <v>157</v>
      </c>
      <c r="J12" s="5" t="s">
        <v>342</v>
      </c>
      <c r="K12" s="5" t="s">
        <v>2826</v>
      </c>
      <c r="L12" s="5" t="s">
        <v>32</v>
      </c>
      <c r="M12" s="5" t="s">
        <v>265</v>
      </c>
      <c r="N12" s="5" t="s">
        <v>28</v>
      </c>
      <c r="O12" s="5"/>
      <c r="P12" s="5"/>
    </row>
    <row r="13" customFormat="false" ht="27.75" hidden="false" customHeight="true" outlineLevel="0" collapsed="false">
      <c r="A13" s="5" t="s">
        <v>2827</v>
      </c>
      <c r="B13" s="5" t="s">
        <v>239</v>
      </c>
      <c r="C13" s="5" t="s">
        <v>172</v>
      </c>
      <c r="D13" s="5" t="s">
        <v>2828</v>
      </c>
      <c r="E13" s="5" t="s">
        <v>368</v>
      </c>
      <c r="F13" s="5" t="s">
        <v>2829</v>
      </c>
      <c r="G13" s="5" t="s">
        <v>2830</v>
      </c>
      <c r="H13" s="5" t="s">
        <v>2831</v>
      </c>
      <c r="I13" s="5" t="s">
        <v>157</v>
      </c>
      <c r="J13" s="5" t="s">
        <v>342</v>
      </c>
      <c r="K13" s="5" t="s">
        <v>2832</v>
      </c>
      <c r="L13" s="5" t="s">
        <v>32</v>
      </c>
      <c r="M13" s="5" t="s">
        <v>265</v>
      </c>
      <c r="N13" s="5" t="s">
        <v>28</v>
      </c>
      <c r="O13" s="5"/>
      <c r="P13" s="5"/>
    </row>
    <row r="14" customFormat="false" ht="15" hidden="false" customHeight="true" outlineLevel="0" collapsed="false">
      <c r="A14" s="5" t="s">
        <v>2833</v>
      </c>
      <c r="B14" s="5" t="s">
        <v>239</v>
      </c>
      <c r="C14" s="5" t="s">
        <v>172</v>
      </c>
      <c r="D14" s="5" t="s">
        <v>2834</v>
      </c>
      <c r="E14" s="5" t="s">
        <v>2835</v>
      </c>
      <c r="F14" s="5" t="s">
        <v>368</v>
      </c>
      <c r="G14" s="5" t="s">
        <v>2836</v>
      </c>
      <c r="H14" s="5" t="s">
        <v>2837</v>
      </c>
      <c r="I14" s="5" t="s">
        <v>158</v>
      </c>
      <c r="J14" s="5" t="s">
        <v>342</v>
      </c>
      <c r="K14" s="5" t="s">
        <v>2838</v>
      </c>
      <c r="L14" s="5" t="s">
        <v>32</v>
      </c>
      <c r="M14" s="5" t="s">
        <v>265</v>
      </c>
      <c r="N14" s="5" t="s">
        <v>96</v>
      </c>
      <c r="O14" s="5"/>
      <c r="P14" s="5"/>
    </row>
    <row r="15" customFormat="false" ht="15" hidden="false" customHeight="true" outlineLevel="0" collapsed="false">
      <c r="A15" s="5" t="s">
        <v>2839</v>
      </c>
      <c r="B15" s="5" t="s">
        <v>240</v>
      </c>
      <c r="C15" s="5" t="s">
        <v>172</v>
      </c>
      <c r="D15" s="5" t="s">
        <v>2840</v>
      </c>
      <c r="E15" s="5" t="s">
        <v>2841</v>
      </c>
      <c r="F15" s="5" t="s">
        <v>2842</v>
      </c>
      <c r="G15" s="5" t="s">
        <v>2843</v>
      </c>
      <c r="H15" s="5" t="s">
        <v>2844</v>
      </c>
      <c r="I15" s="5" t="s">
        <v>157</v>
      </c>
      <c r="J15" s="5" t="s">
        <v>2845</v>
      </c>
      <c r="K15" s="5" t="s">
        <v>2846</v>
      </c>
      <c r="L15" s="5" t="s">
        <v>161</v>
      </c>
      <c r="M15" s="5" t="s">
        <v>265</v>
      </c>
      <c r="N15" s="5" t="s">
        <v>96</v>
      </c>
      <c r="O15" s="5"/>
      <c r="P15" s="5"/>
    </row>
    <row r="16" customFormat="false" ht="15" hidden="false" customHeight="true" outlineLevel="0" collapsed="false">
      <c r="A16" s="5" t="s">
        <v>2847</v>
      </c>
      <c r="B16" s="5" t="s">
        <v>240</v>
      </c>
      <c r="C16" s="5" t="s">
        <v>172</v>
      </c>
      <c r="D16" s="5" t="s">
        <v>2848</v>
      </c>
      <c r="E16" s="5" t="s">
        <v>2835</v>
      </c>
      <c r="F16" s="5" t="s">
        <v>368</v>
      </c>
      <c r="G16" s="5" t="s">
        <v>2849</v>
      </c>
      <c r="H16" s="5" t="s">
        <v>2850</v>
      </c>
      <c r="I16" s="5" t="s">
        <v>158</v>
      </c>
      <c r="J16" s="5" t="s">
        <v>2845</v>
      </c>
      <c r="K16" s="5" t="s">
        <v>2851</v>
      </c>
      <c r="L16" s="5" t="s">
        <v>161</v>
      </c>
      <c r="M16" s="5" t="s">
        <v>265</v>
      </c>
      <c r="N16" s="5" t="s">
        <v>96</v>
      </c>
      <c r="O16" s="5"/>
      <c r="P16" s="5"/>
    </row>
    <row r="17" customFormat="false" ht="15" hidden="false" customHeight="true" outlineLevel="0" collapsed="false">
      <c r="A17" s="5" t="s">
        <v>2852</v>
      </c>
      <c r="B17" s="5" t="s">
        <v>240</v>
      </c>
      <c r="C17" s="5" t="s">
        <v>172</v>
      </c>
      <c r="D17" s="5" t="s">
        <v>2853</v>
      </c>
      <c r="E17" s="5" t="s">
        <v>368</v>
      </c>
      <c r="F17" s="5" t="s">
        <v>2854</v>
      </c>
      <c r="G17" s="5" t="s">
        <v>2855</v>
      </c>
      <c r="H17" s="5" t="s">
        <v>2856</v>
      </c>
      <c r="I17" s="5" t="s">
        <v>158</v>
      </c>
      <c r="J17" s="5" t="s">
        <v>2845</v>
      </c>
      <c r="K17" s="5" t="s">
        <v>2857</v>
      </c>
      <c r="L17" s="5" t="s">
        <v>32</v>
      </c>
      <c r="M17" s="5" t="s">
        <v>265</v>
      </c>
      <c r="N17" s="5" t="s">
        <v>96</v>
      </c>
      <c r="O17" s="5"/>
      <c r="P17" s="5"/>
    </row>
    <row r="18" customFormat="false" ht="15" hidden="false" customHeight="true" outlineLevel="0" collapsed="false">
      <c r="A18" s="5" t="s">
        <v>2858</v>
      </c>
      <c r="B18" s="5" t="s">
        <v>241</v>
      </c>
      <c r="C18" s="5" t="s">
        <v>172</v>
      </c>
      <c r="D18" s="5" t="s">
        <v>2859</v>
      </c>
      <c r="E18" s="5" t="s">
        <v>368</v>
      </c>
      <c r="F18" s="5" t="s">
        <v>368</v>
      </c>
      <c r="G18" s="5" t="s">
        <v>2860</v>
      </c>
      <c r="H18" s="5" t="s">
        <v>2861</v>
      </c>
      <c r="I18" s="5" t="s">
        <v>157</v>
      </c>
      <c r="J18" s="5" t="s">
        <v>263</v>
      </c>
      <c r="K18" s="5" t="s">
        <v>2862</v>
      </c>
      <c r="L18" s="5" t="s">
        <v>32</v>
      </c>
      <c r="M18" s="5" t="s">
        <v>265</v>
      </c>
      <c r="N18" s="5" t="s">
        <v>96</v>
      </c>
      <c r="O18" s="5"/>
      <c r="P18" s="5"/>
    </row>
    <row r="19" customFormat="false" ht="41.25" hidden="false" customHeight="true" outlineLevel="0" collapsed="false">
      <c r="A19" s="5" t="s">
        <v>2863</v>
      </c>
      <c r="B19" s="5" t="s">
        <v>241</v>
      </c>
      <c r="C19" s="5" t="s">
        <v>172</v>
      </c>
      <c r="D19" s="5" t="s">
        <v>2864</v>
      </c>
      <c r="E19" s="5" t="s">
        <v>2865</v>
      </c>
      <c r="F19" s="5" t="s">
        <v>368</v>
      </c>
      <c r="G19" s="5" t="s">
        <v>2866</v>
      </c>
      <c r="H19" s="5" t="s">
        <v>2867</v>
      </c>
      <c r="I19" s="5" t="s">
        <v>157</v>
      </c>
      <c r="J19" s="5" t="s">
        <v>263</v>
      </c>
      <c r="K19" s="5" t="s">
        <v>2868</v>
      </c>
      <c r="L19" s="5" t="s">
        <v>161</v>
      </c>
      <c r="M19" s="5" t="s">
        <v>265</v>
      </c>
      <c r="N19" s="5" t="s">
        <v>96</v>
      </c>
      <c r="O19" s="5"/>
      <c r="P19" s="5"/>
    </row>
    <row r="20" customFormat="false" ht="27.75" hidden="false" customHeight="true" outlineLevel="0" collapsed="false">
      <c r="A20" s="5" t="s">
        <v>2869</v>
      </c>
      <c r="B20" s="5" t="s">
        <v>241</v>
      </c>
      <c r="C20" s="5" t="s">
        <v>172</v>
      </c>
      <c r="D20" s="5" t="s">
        <v>2870</v>
      </c>
      <c r="E20" s="5" t="s">
        <v>2871</v>
      </c>
      <c r="F20" s="5" t="s">
        <v>368</v>
      </c>
      <c r="G20" s="5" t="s">
        <v>2872</v>
      </c>
      <c r="H20" s="5" t="s">
        <v>2873</v>
      </c>
      <c r="I20" s="5" t="s">
        <v>158</v>
      </c>
      <c r="J20" s="5" t="s">
        <v>263</v>
      </c>
      <c r="K20" s="5" t="s">
        <v>2874</v>
      </c>
      <c r="L20" s="5" t="s">
        <v>32</v>
      </c>
      <c r="M20" s="5" t="s">
        <v>265</v>
      </c>
      <c r="N20" s="5" t="s">
        <v>96</v>
      </c>
      <c r="O20" s="5"/>
      <c r="P20" s="5"/>
    </row>
    <row r="21" customFormat="false" ht="27.75" hidden="false" customHeight="true" outlineLevel="0" collapsed="false">
      <c r="A21" s="5" t="s">
        <v>2875</v>
      </c>
      <c r="B21" s="5" t="s">
        <v>242</v>
      </c>
      <c r="C21" s="5" t="s">
        <v>172</v>
      </c>
      <c r="D21" s="5" t="s">
        <v>2876</v>
      </c>
      <c r="E21" s="5" t="s">
        <v>368</v>
      </c>
      <c r="F21" s="5" t="s">
        <v>2877</v>
      </c>
      <c r="G21" s="5" t="s">
        <v>2878</v>
      </c>
      <c r="H21" s="5" t="s">
        <v>2879</v>
      </c>
      <c r="I21" s="5" t="s">
        <v>157</v>
      </c>
      <c r="J21" s="5" t="s">
        <v>1428</v>
      </c>
      <c r="K21" s="5" t="s">
        <v>2880</v>
      </c>
      <c r="L21" s="5" t="s">
        <v>32</v>
      </c>
      <c r="M21" s="5" t="s">
        <v>265</v>
      </c>
      <c r="N21" s="5" t="s">
        <v>96</v>
      </c>
      <c r="O21" s="5"/>
      <c r="P21" s="5"/>
    </row>
    <row r="22" customFormat="false" ht="15" hidden="false" customHeight="true" outlineLevel="0" collapsed="false">
      <c r="A22" s="5" t="s">
        <v>2881</v>
      </c>
      <c r="B22" s="5" t="s">
        <v>242</v>
      </c>
      <c r="C22" s="5" t="s">
        <v>172</v>
      </c>
      <c r="D22" s="5" t="s">
        <v>2882</v>
      </c>
      <c r="E22" s="5" t="s">
        <v>368</v>
      </c>
      <c r="F22" s="5" t="s">
        <v>368</v>
      </c>
      <c r="G22" s="5" t="s">
        <v>2883</v>
      </c>
      <c r="H22" s="5" t="s">
        <v>2884</v>
      </c>
      <c r="I22" s="5" t="s">
        <v>157</v>
      </c>
      <c r="J22" s="5" t="s">
        <v>1428</v>
      </c>
      <c r="K22" s="5" t="s">
        <v>2885</v>
      </c>
      <c r="L22" s="5" t="s">
        <v>32</v>
      </c>
      <c r="M22" s="5" t="s">
        <v>265</v>
      </c>
      <c r="N22" s="5" t="s">
        <v>96</v>
      </c>
      <c r="O22" s="5"/>
      <c r="P22" s="5"/>
    </row>
    <row r="23" customFormat="false" ht="41.25" hidden="false" customHeight="true" outlineLevel="0" collapsed="false">
      <c r="A23" s="5" t="s">
        <v>2886</v>
      </c>
      <c r="B23" s="5" t="s">
        <v>242</v>
      </c>
      <c r="C23" s="5" t="s">
        <v>172</v>
      </c>
      <c r="D23" s="5" t="s">
        <v>2887</v>
      </c>
      <c r="E23" s="5" t="s">
        <v>368</v>
      </c>
      <c r="F23" s="5" t="s">
        <v>2888</v>
      </c>
      <c r="G23" s="5" t="s">
        <v>2889</v>
      </c>
      <c r="H23" s="5" t="s">
        <v>2890</v>
      </c>
      <c r="I23" s="5" t="s">
        <v>158</v>
      </c>
      <c r="J23" s="5" t="s">
        <v>1428</v>
      </c>
      <c r="K23" s="5" t="s">
        <v>2891</v>
      </c>
      <c r="L23" s="5" t="s">
        <v>32</v>
      </c>
      <c r="M23" s="5" t="s">
        <v>265</v>
      </c>
      <c r="N23" s="5" t="s">
        <v>96</v>
      </c>
      <c r="O23" s="5"/>
      <c r="P23" s="5"/>
    </row>
    <row r="24" customFormat="false" ht="15" hidden="false" customHeight="true" outlineLevel="0" collapsed="false">
      <c r="A24" s="5" t="s">
        <v>2892</v>
      </c>
      <c r="B24" s="5" t="s">
        <v>242</v>
      </c>
      <c r="C24" s="5" t="s">
        <v>172</v>
      </c>
      <c r="D24" s="5" t="s">
        <v>2893</v>
      </c>
      <c r="E24" s="5" t="s">
        <v>368</v>
      </c>
      <c r="F24" s="5" t="s">
        <v>2894</v>
      </c>
      <c r="G24" s="5" t="s">
        <v>2895</v>
      </c>
      <c r="H24" s="5" t="s">
        <v>2896</v>
      </c>
      <c r="I24" s="5" t="s">
        <v>157</v>
      </c>
      <c r="J24" s="5" t="s">
        <v>1428</v>
      </c>
      <c r="K24" s="5" t="s">
        <v>2897</v>
      </c>
      <c r="L24" s="5" t="s">
        <v>32</v>
      </c>
      <c r="M24" s="5" t="s">
        <v>265</v>
      </c>
      <c r="N24" s="5" t="s">
        <v>96</v>
      </c>
      <c r="O24" s="5"/>
      <c r="P24" s="5"/>
    </row>
    <row r="25" customFormat="false" ht="27.75" hidden="false" customHeight="true" outlineLevel="0" collapsed="false">
      <c r="A25" s="5" t="s">
        <v>2898</v>
      </c>
      <c r="B25" s="5" t="s">
        <v>242</v>
      </c>
      <c r="C25" s="5" t="s">
        <v>172</v>
      </c>
      <c r="D25" s="5" t="s">
        <v>2899</v>
      </c>
      <c r="E25" s="5" t="s">
        <v>368</v>
      </c>
      <c r="F25" s="5" t="s">
        <v>368</v>
      </c>
      <c r="G25" s="5" t="s">
        <v>2900</v>
      </c>
      <c r="H25" s="5" t="s">
        <v>2901</v>
      </c>
      <c r="I25" s="5" t="s">
        <v>158</v>
      </c>
      <c r="J25" s="5" t="s">
        <v>1428</v>
      </c>
      <c r="K25" s="5" t="s">
        <v>2902</v>
      </c>
      <c r="L25" s="5" t="s">
        <v>32</v>
      </c>
      <c r="M25" s="5" t="s">
        <v>265</v>
      </c>
      <c r="N25" s="5" t="s">
        <v>96</v>
      </c>
      <c r="O25" s="5" t="s">
        <v>2903</v>
      </c>
      <c r="P25" s="5"/>
    </row>
    <row r="26" customFormat="false" ht="15" hidden="false" customHeight="true" outlineLevel="0" collapsed="false">
      <c r="A26" s="5" t="s">
        <v>2904</v>
      </c>
      <c r="B26" s="5" t="s">
        <v>242</v>
      </c>
      <c r="C26" s="5" t="s">
        <v>172</v>
      </c>
      <c r="D26" s="5" t="s">
        <v>2905</v>
      </c>
      <c r="E26" s="5" t="s">
        <v>368</v>
      </c>
      <c r="F26" s="5" t="s">
        <v>2906</v>
      </c>
      <c r="G26" s="5" t="s">
        <v>2795</v>
      </c>
      <c r="H26" s="5" t="s">
        <v>2907</v>
      </c>
      <c r="I26" s="5" t="s">
        <v>158</v>
      </c>
      <c r="J26" s="5" t="s">
        <v>1428</v>
      </c>
      <c r="K26" s="5" t="s">
        <v>2908</v>
      </c>
      <c r="L26" s="5" t="s">
        <v>32</v>
      </c>
      <c r="M26" s="5" t="s">
        <v>265</v>
      </c>
      <c r="N26" s="5" t="s">
        <v>96</v>
      </c>
      <c r="O26" s="5"/>
      <c r="P26" s="5"/>
    </row>
    <row r="27" customFormat="false" ht="27.75" hidden="false" customHeight="true" outlineLevel="0" collapsed="false">
      <c r="A27" s="5" t="s">
        <v>2909</v>
      </c>
      <c r="B27" s="5" t="s">
        <v>243</v>
      </c>
      <c r="C27" s="5" t="s">
        <v>172</v>
      </c>
      <c r="D27" s="5" t="s">
        <v>2910</v>
      </c>
      <c r="E27" s="5" t="s">
        <v>368</v>
      </c>
      <c r="F27" s="5" t="s">
        <v>368</v>
      </c>
      <c r="G27" s="5" t="s">
        <v>2911</v>
      </c>
      <c r="H27" s="5" t="s">
        <v>2912</v>
      </c>
      <c r="I27" s="5" t="s">
        <v>158</v>
      </c>
      <c r="J27" s="5" t="s">
        <v>2913</v>
      </c>
      <c r="K27" s="5" t="s">
        <v>2914</v>
      </c>
      <c r="L27" s="5" t="s">
        <v>32</v>
      </c>
      <c r="M27" s="5" t="s">
        <v>265</v>
      </c>
      <c r="N27" s="5" t="s">
        <v>96</v>
      </c>
      <c r="O27" s="5"/>
      <c r="P27" s="5"/>
    </row>
    <row r="28" customFormat="false" ht="27.75" hidden="false" customHeight="true" outlineLevel="0" collapsed="false">
      <c r="A28" s="5" t="s">
        <v>2915</v>
      </c>
      <c r="B28" s="5" t="s">
        <v>243</v>
      </c>
      <c r="C28" s="5" t="s">
        <v>172</v>
      </c>
      <c r="D28" s="5" t="s">
        <v>2916</v>
      </c>
      <c r="E28" s="5" t="s">
        <v>774</v>
      </c>
      <c r="F28" s="5" t="s">
        <v>368</v>
      </c>
      <c r="G28" s="5" t="s">
        <v>2917</v>
      </c>
      <c r="H28" s="5" t="s">
        <v>2918</v>
      </c>
      <c r="I28" s="5" t="s">
        <v>158</v>
      </c>
      <c r="J28" s="5" t="s">
        <v>2913</v>
      </c>
      <c r="K28" s="5" t="s">
        <v>2919</v>
      </c>
      <c r="L28" s="5" t="s">
        <v>32</v>
      </c>
      <c r="M28" s="5" t="s">
        <v>265</v>
      </c>
      <c r="N28" s="5" t="s">
        <v>96</v>
      </c>
      <c r="O28" s="5"/>
      <c r="P28" s="5"/>
    </row>
    <row r="29" customFormat="false" ht="27.75" hidden="false" customHeight="true" outlineLevel="0" collapsed="false">
      <c r="A29" s="5" t="s">
        <v>2920</v>
      </c>
      <c r="B29" s="5" t="s">
        <v>243</v>
      </c>
      <c r="C29" s="5" t="s">
        <v>172</v>
      </c>
      <c r="D29" s="5" t="s">
        <v>2921</v>
      </c>
      <c r="E29" s="5" t="s">
        <v>368</v>
      </c>
      <c r="F29" s="5" t="s">
        <v>368</v>
      </c>
      <c r="G29" s="5" t="s">
        <v>2922</v>
      </c>
      <c r="H29" s="5" t="s">
        <v>2923</v>
      </c>
      <c r="I29" s="5" t="s">
        <v>158</v>
      </c>
      <c r="J29" s="5" t="s">
        <v>2913</v>
      </c>
      <c r="K29" s="5" t="s">
        <v>2924</v>
      </c>
      <c r="L29" s="5" t="s">
        <v>32</v>
      </c>
      <c r="M29" s="5" t="s">
        <v>265</v>
      </c>
      <c r="N29" s="5" t="s">
        <v>96</v>
      </c>
      <c r="O29" s="5"/>
      <c r="P29" s="5"/>
    </row>
    <row r="30" customFormat="false" ht="27.75" hidden="false" customHeight="true" outlineLevel="0" collapsed="false">
      <c r="A30" s="5" t="s">
        <v>2925</v>
      </c>
      <c r="B30" s="5" t="s">
        <v>244</v>
      </c>
      <c r="C30" s="5" t="s">
        <v>172</v>
      </c>
      <c r="D30" s="5" t="s">
        <v>2926</v>
      </c>
      <c r="E30" s="5" t="s">
        <v>368</v>
      </c>
      <c r="F30" s="5" t="s">
        <v>2927</v>
      </c>
      <c r="G30" s="5" t="s">
        <v>2928</v>
      </c>
      <c r="H30" s="5" t="s">
        <v>2929</v>
      </c>
      <c r="I30" s="5" t="s">
        <v>157</v>
      </c>
      <c r="J30" s="5" t="s">
        <v>2930</v>
      </c>
      <c r="K30" s="5" t="s">
        <v>2931</v>
      </c>
      <c r="L30" s="5" t="s">
        <v>161</v>
      </c>
      <c r="M30" s="5" t="s">
        <v>265</v>
      </c>
      <c r="N30" s="5" t="s">
        <v>96</v>
      </c>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2026-10-30T15:59:58Z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